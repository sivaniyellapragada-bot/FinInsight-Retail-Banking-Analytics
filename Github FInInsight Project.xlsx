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bae7c2ea8eb4a43f/Documents/"/>
    </mc:Choice>
  </mc:AlternateContent>
  <xr:revisionPtr revIDLastSave="3" documentId="11_5CCECDBFD68171A7F03F344391AF7B5EECCCC0BA" xr6:coauthVersionLast="47" xr6:coauthVersionMax="47" xr10:uidLastSave="{0AF67AEE-77F6-47DB-989E-703C17A7BDF8}"/>
  <bookViews>
    <workbookView xWindow="-108" yWindow="-108" windowWidth="23256" windowHeight="12456" activeTab="5" xr2:uid="{00000000-000D-0000-FFFF-FFFF00000000}"/>
  </bookViews>
  <sheets>
    <sheet name="Pivot_Analysis" sheetId="11" r:id="rId1"/>
    <sheet name="Customer" sheetId="1" r:id="rId2"/>
    <sheet name="Loans" sheetId="2" r:id="rId3"/>
    <sheet name="Transactions" sheetId="3" r:id="rId4"/>
    <sheet name="Branches" sheetId="4" r:id="rId5"/>
    <sheet name="Dashboard" sheetId="5" r:id="rId6"/>
  </sheets>
  <definedNames>
    <definedName name="Slicer_Age">#N/A</definedName>
    <definedName name="Slicer_Amount">#N/A</definedName>
    <definedName name="Slicer_Branch_ID">#N/A</definedName>
    <definedName name="Slicer_Credit_Category">#N/A</definedName>
    <definedName name="Slicer_Credit_Score">#N/A</definedName>
    <definedName name="Slicer_Customer_ID">#N/A</definedName>
    <definedName name="Slicer_Customer_ID1">#N/A</definedName>
    <definedName name="Slicer_DTI">#N/A</definedName>
    <definedName name="Slicer_Gender">#N/A</definedName>
    <definedName name="Slicer_Loan_Amount">#N/A</definedName>
    <definedName name="Slicer_Loan_ID">#N/A</definedName>
    <definedName name="Slicer_Loan_Product">#N/A</definedName>
    <definedName name="Slicer_Region">#N/A</definedName>
    <definedName name="Slicer_Target_Deposit_Goal">#N/A</definedName>
    <definedName name="Slicer_Transaction_ID">#N/A</definedName>
    <definedName name="Slicer_Transaction_Type">#N/A</definedName>
  </definedNames>
  <calcPr calcId="191029"/>
  <pivotCaches>
    <pivotCache cacheId="0" r:id="rId7"/>
    <pivotCache cacheId="1" r:id="rId8"/>
    <pivotCache cacheId="2" r:id="rId9"/>
    <pivotCache cacheId="3"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1" i="5" l="1"/>
  <c r="C11" i="5" s="1"/>
  <c r="B11" i="5"/>
  <c r="A12" i="5"/>
  <c r="D12" i="5" s="1"/>
  <c r="E12" i="5" s="1"/>
  <c r="B12" i="5"/>
  <c r="C12" i="5"/>
  <c r="A13" i="5"/>
  <c r="C13" i="5" s="1"/>
  <c r="B13" i="5"/>
  <c r="D13" i="5"/>
  <c r="E13" i="5" s="1"/>
  <c r="A14" i="5"/>
  <c r="C14" i="5" s="1"/>
  <c r="B14" i="5"/>
  <c r="A15" i="5"/>
  <c r="B15" i="5"/>
  <c r="C15" i="5"/>
  <c r="D15" i="5"/>
  <c r="E15" i="5" s="1"/>
  <c r="A16" i="5"/>
  <c r="B16" i="5"/>
  <c r="C16" i="5"/>
  <c r="D16" i="5"/>
  <c r="E16" i="5" s="1"/>
  <c r="A17" i="5"/>
  <c r="C17" i="5" s="1"/>
  <c r="B17" i="5"/>
  <c r="A18" i="5"/>
  <c r="B18" i="5"/>
  <c r="C18" i="5"/>
  <c r="D18" i="5"/>
  <c r="E18" i="5" s="1"/>
  <c r="A19" i="5"/>
  <c r="C19" i="5" s="1"/>
  <c r="B19" i="5"/>
  <c r="E10" i="5"/>
  <c r="D10" i="5"/>
  <c r="C10" i="5"/>
  <c r="B10" i="5"/>
  <c r="A10" i="5"/>
  <c r="B7" i="5"/>
  <c r="B6" i="5"/>
  <c r="B5" i="5"/>
  <c r="A3" i="5"/>
  <c r="S7" i="5"/>
  <c r="K7" i="5"/>
  <c r="O7" i="5"/>
  <c r="G7" i="5"/>
  <c r="R3" i="5"/>
  <c r="N3" i="5"/>
  <c r="J3" i="5"/>
  <c r="F3" i="5"/>
  <c r="D11" i="5" l="1"/>
  <c r="E11" i="5" s="1"/>
  <c r="D19" i="5"/>
  <c r="E19" i="5" s="1"/>
  <c r="D14" i="5"/>
  <c r="E14" i="5" s="1"/>
  <c r="D17" i="5"/>
  <c r="E17" i="5" s="1"/>
</calcChain>
</file>

<file path=xl/sharedStrings.xml><?xml version="1.0" encoding="utf-8"?>
<sst xmlns="http://schemas.openxmlformats.org/spreadsheetml/2006/main" count="7126" uniqueCount="2107">
  <si>
    <t>Customer_ID</t>
  </si>
  <si>
    <t>Customer Name</t>
  </si>
  <si>
    <t>Age</t>
  </si>
  <si>
    <t>Gender</t>
  </si>
  <si>
    <t>Income Group</t>
  </si>
  <si>
    <t>Credit Score</t>
  </si>
  <si>
    <t>Credit Category</t>
  </si>
  <si>
    <t>Loan ID</t>
  </si>
  <si>
    <t>Customer ID</t>
  </si>
  <si>
    <t>Branch ID</t>
  </si>
  <si>
    <t>Loan Product</t>
  </si>
  <si>
    <t>Loan Amount</t>
  </si>
  <si>
    <t>DTI</t>
  </si>
  <si>
    <t>Loan Status</t>
  </si>
  <si>
    <t>Default Flag</t>
  </si>
  <si>
    <t>Customer1</t>
  </si>
  <si>
    <t>Male</t>
  </si>
  <si>
    <t>Medium</t>
  </si>
  <si>
    <t>Excellent</t>
  </si>
  <si>
    <t>Customer2</t>
  </si>
  <si>
    <t>High</t>
  </si>
  <si>
    <t>Poor</t>
  </si>
  <si>
    <t>Customer3</t>
  </si>
  <si>
    <t>Low</t>
  </si>
  <si>
    <t>Customer4</t>
  </si>
  <si>
    <t>Customer5</t>
  </si>
  <si>
    <t>Fair</t>
  </si>
  <si>
    <t>Customer6</t>
  </si>
  <si>
    <t>Female</t>
  </si>
  <si>
    <t>Customer7</t>
  </si>
  <si>
    <t>Customer8</t>
  </si>
  <si>
    <t>Customer9</t>
  </si>
  <si>
    <t>Good</t>
  </si>
  <si>
    <t>Customer10</t>
  </si>
  <si>
    <t>Customer11</t>
  </si>
  <si>
    <t>Customer12</t>
  </si>
  <si>
    <t>Customer13</t>
  </si>
  <si>
    <t>Customer14</t>
  </si>
  <si>
    <t>Customer15</t>
  </si>
  <si>
    <t>Customer16</t>
  </si>
  <si>
    <t>Customer17</t>
  </si>
  <si>
    <t>Customer18</t>
  </si>
  <si>
    <t>Customer19</t>
  </si>
  <si>
    <t>Customer20</t>
  </si>
  <si>
    <t>Customer21</t>
  </si>
  <si>
    <t>Customer22</t>
  </si>
  <si>
    <t>Customer23</t>
  </si>
  <si>
    <t>Customer24</t>
  </si>
  <si>
    <t>Customer25</t>
  </si>
  <si>
    <t>Customer26</t>
  </si>
  <si>
    <t>Customer27</t>
  </si>
  <si>
    <t>Customer28</t>
  </si>
  <si>
    <t>Customer29</t>
  </si>
  <si>
    <t>Customer30</t>
  </si>
  <si>
    <t>Customer31</t>
  </si>
  <si>
    <t>Customer32</t>
  </si>
  <si>
    <t>Customer33</t>
  </si>
  <si>
    <t>Customer34</t>
  </si>
  <si>
    <t>Customer35</t>
  </si>
  <si>
    <t>Customer36</t>
  </si>
  <si>
    <t>Customer37</t>
  </si>
  <si>
    <t>Customer38</t>
  </si>
  <si>
    <t>Customer39</t>
  </si>
  <si>
    <t>Customer40</t>
  </si>
  <si>
    <t>Customer41</t>
  </si>
  <si>
    <t>Customer42</t>
  </si>
  <si>
    <t>Customer43</t>
  </si>
  <si>
    <t>Customer44</t>
  </si>
  <si>
    <t>Customer45</t>
  </si>
  <si>
    <t>Customer46</t>
  </si>
  <si>
    <t>Customer47</t>
  </si>
  <si>
    <t>Customer48</t>
  </si>
  <si>
    <t>Customer49</t>
  </si>
  <si>
    <t>Customer50</t>
  </si>
  <si>
    <t>Customer51</t>
  </si>
  <si>
    <t>Customer52</t>
  </si>
  <si>
    <t>Customer53</t>
  </si>
  <si>
    <t>Customer54</t>
  </si>
  <si>
    <t>Customer55</t>
  </si>
  <si>
    <t>Customer56</t>
  </si>
  <si>
    <t>Customer57</t>
  </si>
  <si>
    <t>Customer58</t>
  </si>
  <si>
    <t>Customer59</t>
  </si>
  <si>
    <t>Customer60</t>
  </si>
  <si>
    <t>Customer61</t>
  </si>
  <si>
    <t>Customer62</t>
  </si>
  <si>
    <t>Customer63</t>
  </si>
  <si>
    <t>Customer64</t>
  </si>
  <si>
    <t>Customer65</t>
  </si>
  <si>
    <t>Customer66</t>
  </si>
  <si>
    <t>Customer67</t>
  </si>
  <si>
    <t>Customer68</t>
  </si>
  <si>
    <t>Customer69</t>
  </si>
  <si>
    <t>Customer70</t>
  </si>
  <si>
    <t>Customer71</t>
  </si>
  <si>
    <t>Customer72</t>
  </si>
  <si>
    <t>Customer73</t>
  </si>
  <si>
    <t>Customer74</t>
  </si>
  <si>
    <t>Customer75</t>
  </si>
  <si>
    <t>Customer76</t>
  </si>
  <si>
    <t>Customer77</t>
  </si>
  <si>
    <t>Customer78</t>
  </si>
  <si>
    <t>Customer79</t>
  </si>
  <si>
    <t>Customer80</t>
  </si>
  <si>
    <t>Customer81</t>
  </si>
  <si>
    <t>Customer82</t>
  </si>
  <si>
    <t>Customer83</t>
  </si>
  <si>
    <t>Customer84</t>
  </si>
  <si>
    <t>Customer85</t>
  </si>
  <si>
    <t>Customer86</t>
  </si>
  <si>
    <t>Customer87</t>
  </si>
  <si>
    <t>Customer88</t>
  </si>
  <si>
    <t>Customer89</t>
  </si>
  <si>
    <t>Customer90</t>
  </si>
  <si>
    <t>Customer91</t>
  </si>
  <si>
    <t>Customer92</t>
  </si>
  <si>
    <t>Customer93</t>
  </si>
  <si>
    <t>Customer94</t>
  </si>
  <si>
    <t>Customer95</t>
  </si>
  <si>
    <t>Customer96</t>
  </si>
  <si>
    <t>Customer97</t>
  </si>
  <si>
    <t>Customer98</t>
  </si>
  <si>
    <t>Customer99</t>
  </si>
  <si>
    <t>Customer100</t>
  </si>
  <si>
    <t>Customer101</t>
  </si>
  <si>
    <t>Customer102</t>
  </si>
  <si>
    <t>Customer103</t>
  </si>
  <si>
    <t>Customer104</t>
  </si>
  <si>
    <t>Customer105</t>
  </si>
  <si>
    <t>Customer106</t>
  </si>
  <si>
    <t>Customer107</t>
  </si>
  <si>
    <t>Customer108</t>
  </si>
  <si>
    <t>Customer109</t>
  </si>
  <si>
    <t>Customer110</t>
  </si>
  <si>
    <t>Customer111</t>
  </si>
  <si>
    <t>Customer112</t>
  </si>
  <si>
    <t>Customer113</t>
  </si>
  <si>
    <t>Customer114</t>
  </si>
  <si>
    <t>Customer115</t>
  </si>
  <si>
    <t>Customer116</t>
  </si>
  <si>
    <t>Customer117</t>
  </si>
  <si>
    <t>Customer118</t>
  </si>
  <si>
    <t>Customer119</t>
  </si>
  <si>
    <t>Customer120</t>
  </si>
  <si>
    <t>Customer121</t>
  </si>
  <si>
    <t>Customer122</t>
  </si>
  <si>
    <t>Customer123</t>
  </si>
  <si>
    <t>Customer124</t>
  </si>
  <si>
    <t>Customer125</t>
  </si>
  <si>
    <t>Customer126</t>
  </si>
  <si>
    <t>Customer127</t>
  </si>
  <si>
    <t>Customer128</t>
  </si>
  <si>
    <t>Customer129</t>
  </si>
  <si>
    <t>Customer130</t>
  </si>
  <si>
    <t>Customer131</t>
  </si>
  <si>
    <t>Customer132</t>
  </si>
  <si>
    <t>Customer133</t>
  </si>
  <si>
    <t>Customer134</t>
  </si>
  <si>
    <t>Customer135</t>
  </si>
  <si>
    <t>Customer136</t>
  </si>
  <si>
    <t>Customer137</t>
  </si>
  <si>
    <t>Customer138</t>
  </si>
  <si>
    <t>Customer139</t>
  </si>
  <si>
    <t>Customer140</t>
  </si>
  <si>
    <t>Customer141</t>
  </si>
  <si>
    <t>Customer142</t>
  </si>
  <si>
    <t>Customer143</t>
  </si>
  <si>
    <t>Customer144</t>
  </si>
  <si>
    <t>Customer145</t>
  </si>
  <si>
    <t>Customer146</t>
  </si>
  <si>
    <t>Customer147</t>
  </si>
  <si>
    <t>Customer148</t>
  </si>
  <si>
    <t>Customer149</t>
  </si>
  <si>
    <t>Customer150</t>
  </si>
  <si>
    <t>Customer151</t>
  </si>
  <si>
    <t>Customer152</t>
  </si>
  <si>
    <t>Customer153</t>
  </si>
  <si>
    <t>Customer154</t>
  </si>
  <si>
    <t>Customer155</t>
  </si>
  <si>
    <t>Customer156</t>
  </si>
  <si>
    <t>Customer157</t>
  </si>
  <si>
    <t>Customer158</t>
  </si>
  <si>
    <t>Customer159</t>
  </si>
  <si>
    <t>Customer160</t>
  </si>
  <si>
    <t>Customer161</t>
  </si>
  <si>
    <t>Customer162</t>
  </si>
  <si>
    <t>Customer163</t>
  </si>
  <si>
    <t>Customer164</t>
  </si>
  <si>
    <t>Customer165</t>
  </si>
  <si>
    <t>Customer166</t>
  </si>
  <si>
    <t>Customer167</t>
  </si>
  <si>
    <t>Customer168</t>
  </si>
  <si>
    <t>Customer169</t>
  </si>
  <si>
    <t>Customer170</t>
  </si>
  <si>
    <t>Customer171</t>
  </si>
  <si>
    <t>Customer172</t>
  </si>
  <si>
    <t>Customer173</t>
  </si>
  <si>
    <t>Customer174</t>
  </si>
  <si>
    <t>Customer175</t>
  </si>
  <si>
    <t>Customer176</t>
  </si>
  <si>
    <t>Customer177</t>
  </si>
  <si>
    <t>Customer178</t>
  </si>
  <si>
    <t>Customer179</t>
  </si>
  <si>
    <t>Customer180</t>
  </si>
  <si>
    <t>Customer181</t>
  </si>
  <si>
    <t>Customer182</t>
  </si>
  <si>
    <t>Customer183</t>
  </si>
  <si>
    <t>Customer184</t>
  </si>
  <si>
    <t>Customer185</t>
  </si>
  <si>
    <t>Customer186</t>
  </si>
  <si>
    <t>Customer187</t>
  </si>
  <si>
    <t>Customer188</t>
  </si>
  <si>
    <t>Customer189</t>
  </si>
  <si>
    <t>Customer190</t>
  </si>
  <si>
    <t>Customer191</t>
  </si>
  <si>
    <t>Customer192</t>
  </si>
  <si>
    <t>Customer193</t>
  </si>
  <si>
    <t>Customer194</t>
  </si>
  <si>
    <t>Customer195</t>
  </si>
  <si>
    <t>Customer196</t>
  </si>
  <si>
    <t>Customer197</t>
  </si>
  <si>
    <t>Customer198</t>
  </si>
  <si>
    <t>Customer199</t>
  </si>
  <si>
    <t>Customer200</t>
  </si>
  <si>
    <t>Customer201</t>
  </si>
  <si>
    <t>Customer202</t>
  </si>
  <si>
    <t>Customer203</t>
  </si>
  <si>
    <t>Customer204</t>
  </si>
  <si>
    <t>Customer205</t>
  </si>
  <si>
    <t>Customer206</t>
  </si>
  <si>
    <t>Customer207</t>
  </si>
  <si>
    <t>Customer208</t>
  </si>
  <si>
    <t>Customer209</t>
  </si>
  <si>
    <t>Customer210</t>
  </si>
  <si>
    <t>Customer211</t>
  </si>
  <si>
    <t>Customer212</t>
  </si>
  <si>
    <t>Customer213</t>
  </si>
  <si>
    <t>Customer214</t>
  </si>
  <si>
    <t>Customer215</t>
  </si>
  <si>
    <t>Customer216</t>
  </si>
  <si>
    <t>Customer217</t>
  </si>
  <si>
    <t>Customer218</t>
  </si>
  <si>
    <t>Customer219</t>
  </si>
  <si>
    <t>Customer220</t>
  </si>
  <si>
    <t>Customer221</t>
  </si>
  <si>
    <t>Customer222</t>
  </si>
  <si>
    <t>Customer223</t>
  </si>
  <si>
    <t>Customer224</t>
  </si>
  <si>
    <t>Customer225</t>
  </si>
  <si>
    <t>Customer226</t>
  </si>
  <si>
    <t>Customer227</t>
  </si>
  <si>
    <t>Customer228</t>
  </si>
  <si>
    <t>Customer229</t>
  </si>
  <si>
    <t>Customer230</t>
  </si>
  <si>
    <t>Customer231</t>
  </si>
  <si>
    <t>Customer232</t>
  </si>
  <si>
    <t>Customer233</t>
  </si>
  <si>
    <t>Customer234</t>
  </si>
  <si>
    <t>Customer235</t>
  </si>
  <si>
    <t>Customer236</t>
  </si>
  <si>
    <t>Customer237</t>
  </si>
  <si>
    <t>Customer238</t>
  </si>
  <si>
    <t>Customer239</t>
  </si>
  <si>
    <t>Customer240</t>
  </si>
  <si>
    <t>Customer241</t>
  </si>
  <si>
    <t>Customer242</t>
  </si>
  <si>
    <t>Customer243</t>
  </si>
  <si>
    <t>Customer244</t>
  </si>
  <si>
    <t>Customer245</t>
  </si>
  <si>
    <t>Customer246</t>
  </si>
  <si>
    <t>Customer247</t>
  </si>
  <si>
    <t>Customer248</t>
  </si>
  <si>
    <t>Customer249</t>
  </si>
  <si>
    <t>Customer250</t>
  </si>
  <si>
    <t>Customer251</t>
  </si>
  <si>
    <t>Customer252</t>
  </si>
  <si>
    <t>Customer253</t>
  </si>
  <si>
    <t>Customer254</t>
  </si>
  <si>
    <t>Customer255</t>
  </si>
  <si>
    <t>Customer256</t>
  </si>
  <si>
    <t>Customer257</t>
  </si>
  <si>
    <t>Customer258</t>
  </si>
  <si>
    <t>Customer259</t>
  </si>
  <si>
    <t>Customer260</t>
  </si>
  <si>
    <t>Customer261</t>
  </si>
  <si>
    <t>Customer262</t>
  </si>
  <si>
    <t>Customer263</t>
  </si>
  <si>
    <t>Customer264</t>
  </si>
  <si>
    <t>Customer265</t>
  </si>
  <si>
    <t>Customer266</t>
  </si>
  <si>
    <t>Customer267</t>
  </si>
  <si>
    <t>Customer268</t>
  </si>
  <si>
    <t>Customer269</t>
  </si>
  <si>
    <t>Customer270</t>
  </si>
  <si>
    <t>Customer271</t>
  </si>
  <si>
    <t>Customer272</t>
  </si>
  <si>
    <t>Customer273</t>
  </si>
  <si>
    <t>Customer274</t>
  </si>
  <si>
    <t>Customer275</t>
  </si>
  <si>
    <t>Customer276</t>
  </si>
  <si>
    <t>Customer277</t>
  </si>
  <si>
    <t>Customer278</t>
  </si>
  <si>
    <t>Customer279</t>
  </si>
  <si>
    <t>Customer280</t>
  </si>
  <si>
    <t>Customer281</t>
  </si>
  <si>
    <t>Customer282</t>
  </si>
  <si>
    <t>Customer283</t>
  </si>
  <si>
    <t>Customer284</t>
  </si>
  <si>
    <t>Customer285</t>
  </si>
  <si>
    <t>Customer286</t>
  </si>
  <si>
    <t>Customer287</t>
  </si>
  <si>
    <t>Customer288</t>
  </si>
  <si>
    <t>Customer289</t>
  </si>
  <si>
    <t>Customer290</t>
  </si>
  <si>
    <t>Customer291</t>
  </si>
  <si>
    <t>Customer292</t>
  </si>
  <si>
    <t>Customer293</t>
  </si>
  <si>
    <t>Customer294</t>
  </si>
  <si>
    <t>Customer295</t>
  </si>
  <si>
    <t>Customer296</t>
  </si>
  <si>
    <t>Customer297</t>
  </si>
  <si>
    <t>Customer298</t>
  </si>
  <si>
    <t>Customer299</t>
  </si>
  <si>
    <t>Customer300</t>
  </si>
  <si>
    <t>Customer301</t>
  </si>
  <si>
    <t>Customer302</t>
  </si>
  <si>
    <t>Customer303</t>
  </si>
  <si>
    <t>Customer304</t>
  </si>
  <si>
    <t>Customer305</t>
  </si>
  <si>
    <t>Customer306</t>
  </si>
  <si>
    <t>Customer307</t>
  </si>
  <si>
    <t>Customer308</t>
  </si>
  <si>
    <t>Customer309</t>
  </si>
  <si>
    <t>Customer310</t>
  </si>
  <si>
    <t>Customer311</t>
  </si>
  <si>
    <t>Customer312</t>
  </si>
  <si>
    <t>Customer313</t>
  </si>
  <si>
    <t>Customer314</t>
  </si>
  <si>
    <t>Customer315</t>
  </si>
  <si>
    <t>Customer316</t>
  </si>
  <si>
    <t>Customer317</t>
  </si>
  <si>
    <t>Customer318</t>
  </si>
  <si>
    <t>Customer319</t>
  </si>
  <si>
    <t>Customer320</t>
  </si>
  <si>
    <t>Customer321</t>
  </si>
  <si>
    <t>Customer322</t>
  </si>
  <si>
    <t>Customer323</t>
  </si>
  <si>
    <t>Customer324</t>
  </si>
  <si>
    <t>Customer325</t>
  </si>
  <si>
    <t>Customer326</t>
  </si>
  <si>
    <t>Customer327</t>
  </si>
  <si>
    <t>Customer328</t>
  </si>
  <si>
    <t>Customer329</t>
  </si>
  <si>
    <t>Customer330</t>
  </si>
  <si>
    <t>Customer331</t>
  </si>
  <si>
    <t>Customer332</t>
  </si>
  <si>
    <t>Customer333</t>
  </si>
  <si>
    <t>Customer334</t>
  </si>
  <si>
    <t>Customer335</t>
  </si>
  <si>
    <t>Customer336</t>
  </si>
  <si>
    <t>Customer337</t>
  </si>
  <si>
    <t>Customer338</t>
  </si>
  <si>
    <t>Customer339</t>
  </si>
  <si>
    <t>Customer340</t>
  </si>
  <si>
    <t>Customer341</t>
  </si>
  <si>
    <t>Customer342</t>
  </si>
  <si>
    <t>Customer343</t>
  </si>
  <si>
    <t>Customer344</t>
  </si>
  <si>
    <t>Customer345</t>
  </si>
  <si>
    <t>Customer346</t>
  </si>
  <si>
    <t>Customer347</t>
  </si>
  <si>
    <t>Customer348</t>
  </si>
  <si>
    <t>Customer349</t>
  </si>
  <si>
    <t>Customer350</t>
  </si>
  <si>
    <t>Customer351</t>
  </si>
  <si>
    <t>Customer352</t>
  </si>
  <si>
    <t>Customer353</t>
  </si>
  <si>
    <t>Customer354</t>
  </si>
  <si>
    <t>Customer355</t>
  </si>
  <si>
    <t>Customer356</t>
  </si>
  <si>
    <t>Customer357</t>
  </si>
  <si>
    <t>Customer358</t>
  </si>
  <si>
    <t>Customer359</t>
  </si>
  <si>
    <t>Customer360</t>
  </si>
  <si>
    <t>Customer361</t>
  </si>
  <si>
    <t>Customer362</t>
  </si>
  <si>
    <t>Customer363</t>
  </si>
  <si>
    <t>Customer364</t>
  </si>
  <si>
    <t>Customer365</t>
  </si>
  <si>
    <t>Customer366</t>
  </si>
  <si>
    <t>Customer367</t>
  </si>
  <si>
    <t>Customer368</t>
  </si>
  <si>
    <t>Customer369</t>
  </si>
  <si>
    <t>Customer370</t>
  </si>
  <si>
    <t>Customer371</t>
  </si>
  <si>
    <t>Customer372</t>
  </si>
  <si>
    <t>Customer373</t>
  </si>
  <si>
    <t>Customer374</t>
  </si>
  <si>
    <t>Customer375</t>
  </si>
  <si>
    <t>Customer376</t>
  </si>
  <si>
    <t>Customer377</t>
  </si>
  <si>
    <t>Customer378</t>
  </si>
  <si>
    <t>Customer379</t>
  </si>
  <si>
    <t>Customer380</t>
  </si>
  <si>
    <t>Customer381</t>
  </si>
  <si>
    <t>Customer382</t>
  </si>
  <si>
    <t>Customer383</t>
  </si>
  <si>
    <t>Customer384</t>
  </si>
  <si>
    <t>Customer385</t>
  </si>
  <si>
    <t>Customer386</t>
  </si>
  <si>
    <t>Customer387</t>
  </si>
  <si>
    <t>Customer388</t>
  </si>
  <si>
    <t>Customer389</t>
  </si>
  <si>
    <t>Customer390</t>
  </si>
  <si>
    <t>Customer391</t>
  </si>
  <si>
    <t>Customer392</t>
  </si>
  <si>
    <t>Customer393</t>
  </si>
  <si>
    <t>Customer394</t>
  </si>
  <si>
    <t>Customer395</t>
  </si>
  <si>
    <t>Customer396</t>
  </si>
  <si>
    <t>Customer397</t>
  </si>
  <si>
    <t>Customer398</t>
  </si>
  <si>
    <t>Customer399</t>
  </si>
  <si>
    <t>Customer400</t>
  </si>
  <si>
    <t>Customer401</t>
  </si>
  <si>
    <t>Customer402</t>
  </si>
  <si>
    <t>Customer403</t>
  </si>
  <si>
    <t>Customer404</t>
  </si>
  <si>
    <t>Customer405</t>
  </si>
  <si>
    <t>Customer406</t>
  </si>
  <si>
    <t>Customer407</t>
  </si>
  <si>
    <t>Customer408</t>
  </si>
  <si>
    <t>Customer409</t>
  </si>
  <si>
    <t>Customer410</t>
  </si>
  <si>
    <t>Customer411</t>
  </si>
  <si>
    <t>Customer412</t>
  </si>
  <si>
    <t>Customer413</t>
  </si>
  <si>
    <t>Customer414</t>
  </si>
  <si>
    <t>Customer415</t>
  </si>
  <si>
    <t>Customer416</t>
  </si>
  <si>
    <t>Customer417</t>
  </si>
  <si>
    <t>Customer418</t>
  </si>
  <si>
    <t>Customer419</t>
  </si>
  <si>
    <t>Customer420</t>
  </si>
  <si>
    <t>Customer421</t>
  </si>
  <si>
    <t>Customer422</t>
  </si>
  <si>
    <t>Customer423</t>
  </si>
  <si>
    <t>Customer424</t>
  </si>
  <si>
    <t>Customer425</t>
  </si>
  <si>
    <t>Customer426</t>
  </si>
  <si>
    <t>Customer427</t>
  </si>
  <si>
    <t>Customer428</t>
  </si>
  <si>
    <t>Customer429</t>
  </si>
  <si>
    <t>Customer430</t>
  </si>
  <si>
    <t>Customer431</t>
  </si>
  <si>
    <t>Customer432</t>
  </si>
  <si>
    <t>Customer433</t>
  </si>
  <si>
    <t>Customer434</t>
  </si>
  <si>
    <t>Customer435</t>
  </si>
  <si>
    <t>Customer436</t>
  </si>
  <si>
    <t>Customer437</t>
  </si>
  <si>
    <t>Customer438</t>
  </si>
  <si>
    <t>Customer439</t>
  </si>
  <si>
    <t>Customer440</t>
  </si>
  <si>
    <t>Customer441</t>
  </si>
  <si>
    <t>Customer442</t>
  </si>
  <si>
    <t>Customer443</t>
  </si>
  <si>
    <t>Customer444</t>
  </si>
  <si>
    <t>Customer445</t>
  </si>
  <si>
    <t>Customer446</t>
  </si>
  <si>
    <t>Customer447</t>
  </si>
  <si>
    <t>Customer448</t>
  </si>
  <si>
    <t>Customer449</t>
  </si>
  <si>
    <t>Customer450</t>
  </si>
  <si>
    <t>Customer451</t>
  </si>
  <si>
    <t>Customer452</t>
  </si>
  <si>
    <t>Customer453</t>
  </si>
  <si>
    <t>Customer454</t>
  </si>
  <si>
    <t>Customer455</t>
  </si>
  <si>
    <t>Customer456</t>
  </si>
  <si>
    <t>Customer457</t>
  </si>
  <si>
    <t>Customer458</t>
  </si>
  <si>
    <t>Customer459</t>
  </si>
  <si>
    <t>Customer460</t>
  </si>
  <si>
    <t>Customer461</t>
  </si>
  <si>
    <t>Customer462</t>
  </si>
  <si>
    <t>Customer463</t>
  </si>
  <si>
    <t>Customer464</t>
  </si>
  <si>
    <t>Customer465</t>
  </si>
  <si>
    <t>Customer466</t>
  </si>
  <si>
    <t>Customer467</t>
  </si>
  <si>
    <t>Customer468</t>
  </si>
  <si>
    <t>Customer469</t>
  </si>
  <si>
    <t>Customer470</t>
  </si>
  <si>
    <t>Customer471</t>
  </si>
  <si>
    <t>Customer472</t>
  </si>
  <si>
    <t>Customer473</t>
  </si>
  <si>
    <t>Customer474</t>
  </si>
  <si>
    <t>Customer475</t>
  </si>
  <si>
    <t>Customer476</t>
  </si>
  <si>
    <t>Customer477</t>
  </si>
  <si>
    <t>Customer478</t>
  </si>
  <si>
    <t>Customer479</t>
  </si>
  <si>
    <t>Customer480</t>
  </si>
  <si>
    <t>Customer481</t>
  </si>
  <si>
    <t>Customer482</t>
  </si>
  <si>
    <t>Customer483</t>
  </si>
  <si>
    <t>Customer484</t>
  </si>
  <si>
    <t>Customer485</t>
  </si>
  <si>
    <t>Customer486</t>
  </si>
  <si>
    <t>Customer487</t>
  </si>
  <si>
    <t>Customer488</t>
  </si>
  <si>
    <t>Customer489</t>
  </si>
  <si>
    <t>Customer490</t>
  </si>
  <si>
    <t>Customer491</t>
  </si>
  <si>
    <t>Customer492</t>
  </si>
  <si>
    <t>Customer493</t>
  </si>
  <si>
    <t>Customer494</t>
  </si>
  <si>
    <t>Customer495</t>
  </si>
  <si>
    <t>Customer496</t>
  </si>
  <si>
    <t>Customer497</t>
  </si>
  <si>
    <t>Customer498</t>
  </si>
  <si>
    <t>Customer499</t>
  </si>
  <si>
    <t>Customer500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</si>
  <si>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</si>
  <si>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</si>
  <si>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</si>
  <si>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</si>
  <si>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</si>
  <si>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</si>
  <si>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</si>
  <si>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</si>
  <si>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</si>
  <si>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</si>
  <si>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</si>
  <si>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</si>
  <si>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</si>
  <si>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</si>
  <si>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</si>
  <si>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</si>
  <si>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</si>
  <si>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</si>
  <si>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</si>
  <si>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</si>
  <si>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</si>
  <si>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</si>
  <si>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</si>
  <si>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</si>
  <si>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</si>
  <si>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</si>
  <si>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</si>
  <si>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</si>
  <si>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</si>
  <si>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</si>
  <si>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</si>
  <si>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</si>
  <si>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</si>
  <si>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</si>
  <si>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</si>
  <si>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</si>
  <si>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</si>
  <si>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</si>
  <si>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</si>
  <si>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</si>
  <si>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</si>
  <si>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</si>
  <si>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</si>
  <si>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</si>
  <si>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</si>
  <si>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</si>
  <si>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</si>
  <si>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</si>
  <si>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</si>
  <si>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</si>
  <si>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</si>
  <si>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</si>
  <si>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</si>
  <si>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</si>
  <si>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</si>
  <si>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</si>
  <si>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</si>
  <si>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</si>
  <si>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</si>
  <si>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</si>
  <si>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</si>
  <si>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</si>
  <si>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</si>
  <si>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</si>
  <si>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</si>
  <si>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</si>
  <si>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</si>
  <si>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</si>
  <si>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</si>
  <si>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</si>
  <si>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</si>
  <si>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</si>
  <si>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</si>
  <si>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</si>
  <si>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</si>
  <si>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</si>
  <si>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</si>
  <si>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</si>
  <si>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</si>
  <si>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</si>
  <si>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</si>
  <si>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</si>
  <si>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</si>
  <si>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</si>
  <si>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</si>
  <si>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</si>
  <si>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</si>
  <si>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</si>
  <si>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</si>
  <si>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</si>
  <si>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</si>
  <si>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</si>
  <si>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</si>
  <si>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</si>
  <si>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</si>
  <si>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</si>
  <si>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</si>
  <si>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</si>
  <si>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</si>
  <si>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</si>
  <si>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</si>
  <si>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</si>
  <si>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</si>
  <si>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</si>
  <si>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</si>
  <si>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</si>
  <si>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</si>
  <si>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</si>
  <si>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</si>
  <si>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</si>
  <si>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</si>
  <si>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</si>
  <si>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</si>
  <si>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</si>
  <si>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</si>
  <si>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</si>
  <si>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</si>
  <si>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</si>
  <si>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</si>
  <si>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</si>
  <si>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</si>
  <si>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</si>
  <si>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</si>
  <si>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</si>
  <si>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</si>
  <si>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</si>
  <si>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</si>
  <si>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</si>
  <si>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</si>
  <si>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</si>
  <si>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</si>
  <si>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</si>
  <si>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</si>
  <si>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</si>
  <si>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</si>
  <si>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</si>
  <si>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</si>
  <si>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</si>
  <si>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</si>
  <si>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</si>
  <si>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</si>
  <si>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</si>
  <si>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</si>
  <si>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</si>
  <si>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</si>
  <si>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</si>
  <si>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</si>
  <si>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</si>
  <si>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</si>
  <si>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</si>
  <si>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</si>
  <si>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</si>
  <si>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</si>
  <si>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</si>
  <si>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</si>
  <si>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</si>
  <si>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</si>
  <si>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</si>
  <si>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</si>
  <si>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</si>
  <si>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</si>
  <si>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</si>
  <si>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</si>
  <si>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</si>
  <si>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</si>
  <si>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</si>
  <si>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</si>
  <si>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</si>
  <si>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</si>
  <si>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</si>
  <si>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</si>
  <si>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</si>
  <si>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</si>
  <si>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</si>
  <si>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</si>
  <si>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</si>
  <si>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</si>
  <si>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</si>
  <si>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</si>
  <si>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</si>
  <si>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</si>
  <si>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</si>
  <si>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</si>
  <si>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</si>
  <si>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</si>
  <si>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</si>
  <si>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</si>
  <si>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</si>
  <si>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</si>
  <si>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</si>
  <si>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</si>
  <si>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</si>
  <si>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</si>
  <si>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</si>
  <si>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</si>
  <si>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</si>
  <si>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</si>
  <si>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</si>
  <si>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</si>
  <si>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</si>
  <si>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</si>
  <si>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</si>
  <si>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</si>
  <si>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</si>
  <si>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</si>
  <si>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</si>
  <si>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</si>
  <si>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</si>
  <si>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</si>
  <si>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</si>
  <si>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</si>
  <si>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</si>
  <si>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</si>
  <si>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</si>
  <si>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</si>
  <si>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</si>
  <si>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</si>
  <si>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</si>
  <si>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</si>
  <si>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</si>
  <si>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</si>
  <si>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</si>
  <si>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</si>
  <si>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</si>
  <si>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</si>
  <si>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</si>
  <si>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</si>
  <si>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</si>
  <si>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</si>
  <si>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</si>
  <si>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</si>
  <si>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</si>
  <si>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</si>
  <si>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</si>
  <si>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</si>
  <si>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</si>
  <si>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</si>
  <si>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</si>
  <si>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</si>
  <si>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</si>
  <si>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</si>
  <si>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</si>
  <si>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</si>
  <si>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</si>
  <si>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</si>
  <si>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</si>
  <si>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</si>
  <si>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</si>
  <si>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</si>
  <si>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</si>
  <si>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</si>
  <si>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</si>
  <si>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</si>
  <si>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</si>
  <si>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</si>
  <si>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</si>
  <si>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</si>
  <si>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</si>
  <si>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</si>
  <si>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</si>
  <si>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</si>
  <si>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</si>
  <si>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</si>
  <si>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</si>
  <si>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</si>
  <si>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</si>
  <si>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</si>
  <si>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</si>
  <si>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C369</t>
  </si>
  <si>
    <t>C370</t>
  </si>
  <si>
    <t>C371</t>
  </si>
  <si>
    <t>C372</t>
  </si>
  <si>
    <t>C373</t>
  </si>
  <si>
    <t>C374</t>
  </si>
  <si>
    <t>C375</t>
  </si>
  <si>
    <t>C376</t>
  </si>
  <si>
    <t>C377</t>
  </si>
  <si>
    <t>C378</t>
  </si>
  <si>
    <t>C379</t>
  </si>
  <si>
    <t>C380</t>
  </si>
  <si>
    <t>C381</t>
  </si>
  <si>
    <t>C382</t>
  </si>
  <si>
    <t>C383</t>
  </si>
  <si>
    <t>C384</t>
  </si>
  <si>
    <t>C385</t>
  </si>
  <si>
    <t>C386</t>
  </si>
  <si>
    <t>C387</t>
  </si>
  <si>
    <t>C388</t>
  </si>
  <si>
    <t>C389</t>
  </si>
  <si>
    <t>C390</t>
  </si>
  <si>
    <t>C391</t>
  </si>
  <si>
    <t>C392</t>
  </si>
  <si>
    <t>C393</t>
  </si>
  <si>
    <t>C394</t>
  </si>
  <si>
    <t>C395</t>
  </si>
  <si>
    <t>C396</t>
  </si>
  <si>
    <t>C397</t>
  </si>
  <si>
    <t>C398</t>
  </si>
  <si>
    <t>C399</t>
  </si>
  <si>
    <t>C400</t>
  </si>
  <si>
    <t>C401</t>
  </si>
  <si>
    <t>C402</t>
  </si>
  <si>
    <t>C403</t>
  </si>
  <si>
    <t>C404</t>
  </si>
  <si>
    <t>C405</t>
  </si>
  <si>
    <t>C406</t>
  </si>
  <si>
    <t>C407</t>
  </si>
  <si>
    <t>C408</t>
  </si>
  <si>
    <t>C409</t>
  </si>
  <si>
    <t>C410</t>
  </si>
  <si>
    <t>C411</t>
  </si>
  <si>
    <t>C412</t>
  </si>
  <si>
    <t>C413</t>
  </si>
  <si>
    <t>C414</t>
  </si>
  <si>
    <t>C415</t>
  </si>
  <si>
    <t>C416</t>
  </si>
  <si>
    <t>C417</t>
  </si>
  <si>
    <t>C418</t>
  </si>
  <si>
    <t>C419</t>
  </si>
  <si>
    <t>C420</t>
  </si>
  <si>
    <t>C421</t>
  </si>
  <si>
    <t>C422</t>
  </si>
  <si>
    <t>C423</t>
  </si>
  <si>
    <t>C424</t>
  </si>
  <si>
    <t>C425</t>
  </si>
  <si>
    <t>C426</t>
  </si>
  <si>
    <t>C427</t>
  </si>
  <si>
    <t>C428</t>
  </si>
  <si>
    <t>C429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</si>
  <si>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</si>
  <si>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</si>
  <si>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</si>
  <si>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</si>
  <si>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</si>
  <si>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</si>
  <si>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</si>
  <si>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</si>
  <si>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</si>
  <si>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</si>
  <si>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</si>
  <si>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</si>
  <si>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</si>
  <si>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</si>
  <si>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</si>
  <si>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</si>
  <si>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</si>
  <si>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</si>
  <si>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</si>
  <si>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</si>
  <si>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</si>
  <si>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</si>
  <si>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</si>
  <si>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C453</t>
  </si>
  <si>
    <t>C454</t>
  </si>
  <si>
    <t>C455</t>
  </si>
  <si>
    <t>C456</t>
  </si>
  <si>
    <t>C457</t>
  </si>
  <si>
    <t>C458</t>
  </si>
  <si>
    <t>C459</t>
  </si>
  <si>
    <t>C460</t>
  </si>
  <si>
    <t>C461</t>
  </si>
  <si>
    <t>C462</t>
  </si>
  <si>
    <t>C463</t>
  </si>
  <si>
    <t>C464</t>
  </si>
  <si>
    <t>C465</t>
  </si>
  <si>
    <t>C466</t>
  </si>
  <si>
    <t>C467</t>
  </si>
  <si>
    <t>C468</t>
  </si>
  <si>
    <t>C469</t>
  </si>
  <si>
    <t>C470</t>
  </si>
  <si>
    <t>C471</t>
  </si>
  <si>
    <t>C472</t>
  </si>
  <si>
    <t>C473</t>
  </si>
  <si>
    <t>C474</t>
  </si>
  <si>
    <t>C475</t>
  </si>
  <si>
    <t>C476</t>
  </si>
  <si>
    <t>C477</t>
  </si>
  <si>
    <t>C478</t>
  </si>
  <si>
    <t>C479</t>
  </si>
  <si>
    <t>C480</t>
  </si>
  <si>
    <t>C481</t>
  </si>
  <si>
    <t>C482</t>
  </si>
  <si>
    <t>C483</t>
  </si>
  <si>
    <t>C484</t>
  </si>
  <si>
    <t>C485</t>
  </si>
  <si>
    <t>C486</t>
  </si>
  <si>
    <t>C487</t>
  </si>
  <si>
    <t>C488</t>
  </si>
  <si>
    <t>C489</t>
  </si>
  <si>
    <t>C490</t>
  </si>
  <si>
    <t>C491</t>
  </si>
  <si>
    <t>C492</t>
  </si>
  <si>
    <t>C493</t>
  </si>
  <si>
    <t>C494</t>
  </si>
  <si>
    <t>C495</t>
  </si>
  <si>
    <t>C496</t>
  </si>
  <si>
    <t>C497</t>
  </si>
  <si>
    <t>C498</t>
  </si>
  <si>
    <t>C499</t>
  </si>
  <si>
    <t>C500</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</si>
  <si>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</si>
  <si>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</si>
  <si>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</si>
  <si>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</si>
  <si>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</si>
  <si>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</si>
  <si>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</si>
  <si>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</si>
  <si>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</si>
  <si>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</si>
  <si>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</si>
  <si>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</si>
  <si>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</si>
  <si>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</si>
  <si>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</si>
  <si>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</si>
  <si>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</si>
  <si>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</si>
  <si>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</si>
  <si>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</si>
  <si>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</si>
  <si>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C522</t>
  </si>
  <si>
    <t>C523</t>
  </si>
  <si>
    <t>C524</t>
  </si>
  <si>
    <t>C525</t>
  </si>
  <si>
    <t>C526</t>
  </si>
  <si>
    <t>C527</t>
  </si>
  <si>
    <t>C528</t>
  </si>
  <si>
    <t>C529</t>
  </si>
  <si>
    <t>C530</t>
  </si>
  <si>
    <t>C531</t>
  </si>
  <si>
    <t>C532</t>
  </si>
  <si>
    <t>C533</t>
  </si>
  <si>
    <t>C534</t>
  </si>
  <si>
    <t>C535</t>
  </si>
  <si>
    <t>C536</t>
  </si>
  <si>
    <t>C537</t>
  </si>
  <si>
    <t>C538</t>
  </si>
  <si>
    <t>C539</t>
  </si>
  <si>
    <t>C540</t>
  </si>
  <si>
    <t>C541</t>
  </si>
  <si>
    <t>C542</t>
  </si>
  <si>
    <t>C543</t>
  </si>
  <si>
    <t>C544</t>
  </si>
  <si>
    <t>C545</t>
  </si>
  <si>
    <t>C546</t>
  </si>
  <si>
    <t>C547</t>
  </si>
  <si>
    <t>C548</t>
  </si>
  <si>
    <t>C549</t>
  </si>
  <si>
    <t>C550</t>
  </si>
  <si>
    <t>C551</t>
  </si>
  <si>
    <t>C552</t>
  </si>
  <si>
    <t>C553</t>
  </si>
  <si>
    <t>C554</t>
  </si>
  <si>
    <t>C555</t>
  </si>
  <si>
    <t>C556</t>
  </si>
  <si>
    <t>C557</t>
  </si>
  <si>
    <t>C558</t>
  </si>
  <si>
    <t>C559</t>
  </si>
  <si>
    <t>C560</t>
  </si>
  <si>
    <t>C561</t>
  </si>
  <si>
    <t>C562</t>
  </si>
  <si>
    <t>C563</t>
  </si>
  <si>
    <t>C564</t>
  </si>
  <si>
    <t>C565</t>
  </si>
  <si>
    <t>C566</t>
  </si>
  <si>
    <t>C567</t>
  </si>
  <si>
    <t>C568</t>
  </si>
  <si>
    <t>C569</t>
  </si>
  <si>
    <t>C570</t>
  </si>
  <si>
    <t>C571</t>
  </si>
  <si>
    <t>C572</t>
  </si>
  <si>
    <t>C573</t>
  </si>
  <si>
    <t>C574</t>
  </si>
  <si>
    <t>C575</t>
  </si>
  <si>
    <t>C576</t>
  </si>
  <si>
    <t>C577</t>
  </si>
  <si>
    <t>C578</t>
  </si>
  <si>
    <t>C579</t>
  </si>
  <si>
    <t>C580</t>
  </si>
  <si>
    <t>C581</t>
  </si>
  <si>
    <t>C582</t>
  </si>
  <si>
    <t>C583</t>
  </si>
  <si>
    <t>C584</t>
  </si>
  <si>
    <t>C585</t>
  </si>
  <si>
    <t>C586</t>
  </si>
  <si>
    <t>C587</t>
  </si>
  <si>
    <t>C588</t>
  </si>
  <si>
    <t>C589</t>
  </si>
  <si>
    <t>C590</t>
  </si>
  <si>
    <t>C591</t>
  </si>
  <si>
    <t>C592</t>
  </si>
  <si>
    <t>C593</t>
  </si>
  <si>
    <t>C594</t>
  </si>
  <si>
    <t>C595</t>
  </si>
  <si>
    <t>C596</t>
  </si>
  <si>
    <t>C597</t>
  </si>
  <si>
    <t>C598</t>
  </si>
  <si>
    <t>C599</t>
  </si>
  <si>
    <t>C600</t>
  </si>
  <si>
    <t>L1001</t>
  </si>
  <si>
    <t>B0007</t>
  </si>
  <si>
    <t>Credit Card</t>
  </si>
  <si>
    <t>Active</t>
  </si>
  <si>
    <t>L1002</t>
  </si>
  <si>
    <t>B0005</t>
  </si>
  <si>
    <t>Auto Loan</t>
  </si>
  <si>
    <t>L1003</t>
  </si>
  <si>
    <t>B0002</t>
  </si>
  <si>
    <t>L1004</t>
  </si>
  <si>
    <t>B0009</t>
  </si>
  <si>
    <t>Personal Loan</t>
  </si>
  <si>
    <t>Default</t>
  </si>
  <si>
    <t>L1005</t>
  </si>
  <si>
    <t>B0003</t>
  </si>
  <si>
    <t>Mortgage</t>
  </si>
  <si>
    <t>L1006</t>
  </si>
  <si>
    <t>B0001</t>
  </si>
  <si>
    <t>L1007</t>
  </si>
  <si>
    <t>L1008</t>
  </si>
  <si>
    <t>L1009</t>
  </si>
  <si>
    <t>L1010</t>
  </si>
  <si>
    <t>L1011</t>
  </si>
  <si>
    <t>L1012</t>
  </si>
  <si>
    <t>L1013</t>
  </si>
  <si>
    <t>B0006</t>
  </si>
  <si>
    <t>L1014</t>
  </si>
  <si>
    <t>L1015</t>
  </si>
  <si>
    <t>L1016</t>
  </si>
  <si>
    <t>B0010</t>
  </si>
  <si>
    <t>L1017</t>
  </si>
  <si>
    <t>B0008</t>
  </si>
  <si>
    <t>L1018</t>
  </si>
  <si>
    <t>L1019</t>
  </si>
  <si>
    <t>L1020</t>
  </si>
  <si>
    <t>L1021</t>
  </si>
  <si>
    <t>L1022</t>
  </si>
  <si>
    <t>L1023</t>
  </si>
  <si>
    <t>L1024</t>
  </si>
  <si>
    <t>L1025</t>
  </si>
  <si>
    <t>L1026</t>
  </si>
  <si>
    <t>B0004</t>
  </si>
  <si>
    <t>L1027</t>
  </si>
  <si>
    <t>L1028</t>
  </si>
  <si>
    <t>L1029</t>
  </si>
  <si>
    <t>L1030</t>
  </si>
  <si>
    <t>L1031</t>
  </si>
  <si>
    <t>L1032</t>
  </si>
  <si>
    <t>L1033</t>
  </si>
  <si>
    <t>L1034</t>
  </si>
  <si>
    <t>L1035</t>
  </si>
  <si>
    <t>L1036</t>
  </si>
  <si>
    <t>L1037</t>
  </si>
  <si>
    <t>L1038</t>
  </si>
  <si>
    <t>L1039</t>
  </si>
  <si>
    <t>L1040</t>
  </si>
  <si>
    <t>L1041</t>
  </si>
  <si>
    <t>L1042</t>
  </si>
  <si>
    <t>L1043</t>
  </si>
  <si>
    <t>L1044</t>
  </si>
  <si>
    <t>L1045</t>
  </si>
  <si>
    <t>L1046</t>
  </si>
  <si>
    <t>L1047</t>
  </si>
  <si>
    <t>L1048</t>
  </si>
  <si>
    <t>L1049</t>
  </si>
  <si>
    <t>L1050</t>
  </si>
  <si>
    <t>L1051</t>
  </si>
  <si>
    <t>L1052</t>
  </si>
  <si>
    <t>L1053</t>
  </si>
  <si>
    <t>L1054</t>
  </si>
  <si>
    <t>L1055</t>
  </si>
  <si>
    <t>L1056</t>
  </si>
  <si>
    <t>L1057</t>
  </si>
  <si>
    <t>L1058</t>
  </si>
  <si>
    <t>L1059</t>
  </si>
  <si>
    <t>L1060</t>
  </si>
  <si>
    <t>L1061</t>
  </si>
  <si>
    <t>L1062</t>
  </si>
  <si>
    <t>L1063</t>
  </si>
  <si>
    <t>L1064</t>
  </si>
  <si>
    <t>L1065</t>
  </si>
  <si>
    <t>L1066</t>
  </si>
  <si>
    <t>L1067</t>
  </si>
  <si>
    <t>L1068</t>
  </si>
  <si>
    <t>L1069</t>
  </si>
  <si>
    <t>L1070</t>
  </si>
  <si>
    <t>L1071</t>
  </si>
  <si>
    <t>L1072</t>
  </si>
  <si>
    <t>L1073</t>
  </si>
  <si>
    <t>L1074</t>
  </si>
  <si>
    <t>L1075</t>
  </si>
  <si>
    <t>L1076</t>
  </si>
  <si>
    <t>L1077</t>
  </si>
  <si>
    <t>L1078</t>
  </si>
  <si>
    <t>L1079</t>
  </si>
  <si>
    <t>L1080</t>
  </si>
  <si>
    <t>L1081</t>
  </si>
  <si>
    <t>L1082</t>
  </si>
  <si>
    <t>L1083</t>
  </si>
  <si>
    <t>L1084</t>
  </si>
  <si>
    <t>L1085</t>
  </si>
  <si>
    <t>L1086</t>
  </si>
  <si>
    <t>L1087</t>
  </si>
  <si>
    <t>L1088</t>
  </si>
  <si>
    <t>L1089</t>
  </si>
  <si>
    <t>L1090</t>
  </si>
  <si>
    <t>L1091</t>
  </si>
  <si>
    <t>L1092</t>
  </si>
  <si>
    <t>L1093</t>
  </si>
  <si>
    <t>L1094</t>
  </si>
  <si>
    <t>L1095</t>
  </si>
  <si>
    <t>L1096</t>
  </si>
  <si>
    <t>L1097</t>
  </si>
  <si>
    <t>L1098</t>
  </si>
  <si>
    <t>L1099</t>
  </si>
  <si>
    <t>L1100</t>
  </si>
  <si>
    <t>L1101</t>
  </si>
  <si>
    <t>L1102</t>
  </si>
  <si>
    <t>L1103</t>
  </si>
  <si>
    <t>L1104</t>
  </si>
  <si>
    <t>L1105</t>
  </si>
  <si>
    <t>L1106</t>
  </si>
  <si>
    <t>L1107</t>
  </si>
  <si>
    <t>L1108</t>
  </si>
  <si>
    <t>L1109</t>
  </si>
  <si>
    <t>L1110</t>
  </si>
  <si>
    <t>L1111</t>
  </si>
  <si>
    <t>L1112</t>
  </si>
  <si>
    <t>L1113</t>
  </si>
  <si>
    <t>L1114</t>
  </si>
  <si>
    <t>L1115</t>
  </si>
  <si>
    <t>L1116</t>
  </si>
  <si>
    <t>L1117</t>
  </si>
  <si>
    <t>L1118</t>
  </si>
  <si>
    <t>L1119</t>
  </si>
  <si>
    <t>L1120</t>
  </si>
  <si>
    <t>L1121</t>
  </si>
  <si>
    <t>L1122</t>
  </si>
  <si>
    <t>L1123</t>
  </si>
  <si>
    <t>L1124</t>
  </si>
  <si>
    <t>L1125</t>
  </si>
  <si>
    <t>L1126</t>
  </si>
  <si>
    <t>L1127</t>
  </si>
  <si>
    <t>L1128</t>
  </si>
  <si>
    <t>L1129</t>
  </si>
  <si>
    <t>L1130</t>
  </si>
  <si>
    <t>L1131</t>
  </si>
  <si>
    <t>L1132</t>
  </si>
  <si>
    <t>L1133</t>
  </si>
  <si>
    <t>L1134</t>
  </si>
  <si>
    <t>L1135</t>
  </si>
  <si>
    <t>L1136</t>
  </si>
  <si>
    <t>L1137</t>
  </si>
  <si>
    <t>L1138</t>
  </si>
  <si>
    <t>L1139</t>
  </si>
  <si>
    <t>L1140</t>
  </si>
  <si>
    <t>L1141</t>
  </si>
  <si>
    <t>L1142</t>
  </si>
  <si>
    <t>L1143</t>
  </si>
  <si>
    <t>L1144</t>
  </si>
  <si>
    <t>L1145</t>
  </si>
  <si>
    <t>L1146</t>
  </si>
  <si>
    <t>L1147</t>
  </si>
  <si>
    <t>L1148</t>
  </si>
  <si>
    <t>L1149</t>
  </si>
  <si>
    <t>L1150</t>
  </si>
  <si>
    <t>L1151</t>
  </si>
  <si>
    <t>L1152</t>
  </si>
  <si>
    <t>L1153</t>
  </si>
  <si>
    <t>L1154</t>
  </si>
  <si>
    <t>L1155</t>
  </si>
  <si>
    <t>L1156</t>
  </si>
  <si>
    <t>L1157</t>
  </si>
  <si>
    <t>L1158</t>
  </si>
  <si>
    <t>L1159</t>
  </si>
  <si>
    <t>L1160</t>
  </si>
  <si>
    <t>L1161</t>
  </si>
  <si>
    <t>L1162</t>
  </si>
  <si>
    <t>L1163</t>
  </si>
  <si>
    <t>L1164</t>
  </si>
  <si>
    <t>L1165</t>
  </si>
  <si>
    <t>L1166</t>
  </si>
  <si>
    <t>L1167</t>
  </si>
  <si>
    <t>C100</t>
  </si>
  <si>
    <t>L1168</t>
  </si>
  <si>
    <t>L1169</t>
  </si>
  <si>
    <t>L1170</t>
  </si>
  <si>
    <t>L1171</t>
  </si>
  <si>
    <t>L1172</t>
  </si>
  <si>
    <t>L1173</t>
  </si>
  <si>
    <t>L1174</t>
  </si>
  <si>
    <t>L1175</t>
  </si>
  <si>
    <t>L1176</t>
  </si>
  <si>
    <t>L1177</t>
  </si>
  <si>
    <t>L1178</t>
  </si>
  <si>
    <t>L1179</t>
  </si>
  <si>
    <t>L1180</t>
  </si>
  <si>
    <t>L1181</t>
  </si>
  <si>
    <t>L1182</t>
  </si>
  <si>
    <t>L1183</t>
  </si>
  <si>
    <t>L1184</t>
  </si>
  <si>
    <t>L1185</t>
  </si>
  <si>
    <t>L1186</t>
  </si>
  <si>
    <t>L1187</t>
  </si>
  <si>
    <t>L1188</t>
  </si>
  <si>
    <t>L1189</t>
  </si>
  <si>
    <t>L1190</t>
  </si>
  <si>
    <t>L1191</t>
  </si>
  <si>
    <t>L1192</t>
  </si>
  <si>
    <t>L1193</t>
  </si>
  <si>
    <t>L1194</t>
  </si>
  <si>
    <t>L1195</t>
  </si>
  <si>
    <t>L1196</t>
  </si>
  <si>
    <t>L1197</t>
  </si>
  <si>
    <t>L1198</t>
  </si>
  <si>
    <t>L1199</t>
  </si>
  <si>
    <t>L1200</t>
  </si>
  <si>
    <t>L1201</t>
  </si>
  <si>
    <t>L1202</t>
  </si>
  <si>
    <t>L1203</t>
  </si>
  <si>
    <t>L1204</t>
  </si>
  <si>
    <t>L1205</t>
  </si>
  <si>
    <t>L1206</t>
  </si>
  <si>
    <t>L1207</t>
  </si>
  <si>
    <t>L1208</t>
  </si>
  <si>
    <t>L1209</t>
  </si>
  <si>
    <t>L1210</t>
  </si>
  <si>
    <t>L1211</t>
  </si>
  <si>
    <t>L1212</t>
  </si>
  <si>
    <t>L1213</t>
  </si>
  <si>
    <t>L1214</t>
  </si>
  <si>
    <t>L1215</t>
  </si>
  <si>
    <t>L1216</t>
  </si>
  <si>
    <t>L1217</t>
  </si>
  <si>
    <t>L1218</t>
  </si>
  <si>
    <t>L1219</t>
  </si>
  <si>
    <t>L1220</t>
  </si>
  <si>
    <t>L1221</t>
  </si>
  <si>
    <t>L1222</t>
  </si>
  <si>
    <t>L1223</t>
  </si>
  <si>
    <t>L1224</t>
  </si>
  <si>
    <t>L1225</t>
  </si>
  <si>
    <t>L1226</t>
  </si>
  <si>
    <t>L1227</t>
  </si>
  <si>
    <t>L1228</t>
  </si>
  <si>
    <t>L1229</t>
  </si>
  <si>
    <t>L1230</t>
  </si>
  <si>
    <t>L1231</t>
  </si>
  <si>
    <t>L1232</t>
  </si>
  <si>
    <t>L1233</t>
  </si>
  <si>
    <t>L1234</t>
  </si>
  <si>
    <t>L1235</t>
  </si>
  <si>
    <t>L1236</t>
  </si>
  <si>
    <t>L1237</t>
  </si>
  <si>
    <t>L1238</t>
  </si>
  <si>
    <t>L1239</t>
  </si>
  <si>
    <t>L1240</t>
  </si>
  <si>
    <t>L1241</t>
  </si>
  <si>
    <t>L1242</t>
  </si>
  <si>
    <t>L1243</t>
  </si>
  <si>
    <t>L1244</t>
  </si>
  <si>
    <t>L1245</t>
  </si>
  <si>
    <t>L1246</t>
  </si>
  <si>
    <t>L1247</t>
  </si>
  <si>
    <t>L1248</t>
  </si>
  <si>
    <t>L1249</t>
  </si>
  <si>
    <t>L1250</t>
  </si>
  <si>
    <t>L1251</t>
  </si>
  <si>
    <t>L1252</t>
  </si>
  <si>
    <t>L1253</t>
  </si>
  <si>
    <t>L1254</t>
  </si>
  <si>
    <t>L1255</t>
  </si>
  <si>
    <t>L1256</t>
  </si>
  <si>
    <t>L1257</t>
  </si>
  <si>
    <t>L1258</t>
  </si>
  <si>
    <t>L1259</t>
  </si>
  <si>
    <t>L1260</t>
  </si>
  <si>
    <t>L1261</t>
  </si>
  <si>
    <t>L1262</t>
  </si>
  <si>
    <t>L1263</t>
  </si>
  <si>
    <t>L1264</t>
  </si>
  <si>
    <t>L1265</t>
  </si>
  <si>
    <t>L1266</t>
  </si>
  <si>
    <t>L1267</t>
  </si>
  <si>
    <t>L1268</t>
  </si>
  <si>
    <t>L1269</t>
  </si>
  <si>
    <t>L1270</t>
  </si>
  <si>
    <t>L1271</t>
  </si>
  <si>
    <t>L1272</t>
  </si>
  <si>
    <t>L1273</t>
  </si>
  <si>
    <t>L1274</t>
  </si>
  <si>
    <t>L1275</t>
  </si>
  <si>
    <t>L1276</t>
  </si>
  <si>
    <t>L1277</t>
  </si>
  <si>
    <t>L1278</t>
  </si>
  <si>
    <t>L1279</t>
  </si>
  <si>
    <t>L1280</t>
  </si>
  <si>
    <t>L1281</t>
  </si>
  <si>
    <t>L1282</t>
  </si>
  <si>
    <t>L1283</t>
  </si>
  <si>
    <t>L1284</t>
  </si>
  <si>
    <t>L1285</t>
  </si>
  <si>
    <t>L1286</t>
  </si>
  <si>
    <t>L1287</t>
  </si>
  <si>
    <t>L1288</t>
  </si>
  <si>
    <t>L1289</t>
  </si>
  <si>
    <t>L1290</t>
  </si>
  <si>
    <t>L1291</t>
  </si>
  <si>
    <t>L1292</t>
  </si>
  <si>
    <t>L1293</t>
  </si>
  <si>
    <t>L1294</t>
  </si>
  <si>
    <t>L1295</t>
  </si>
  <si>
    <t>L1296</t>
  </si>
  <si>
    <t>L1297</t>
  </si>
  <si>
    <t>L1298</t>
  </si>
  <si>
    <t>L1299</t>
  </si>
  <si>
    <t>L1300</t>
  </si>
  <si>
    <t>L1301</t>
  </si>
  <si>
    <t>L1302</t>
  </si>
  <si>
    <t>L1303</t>
  </si>
  <si>
    <t>L1304</t>
  </si>
  <si>
    <t>L1305</t>
  </si>
  <si>
    <t>L1306</t>
  </si>
  <si>
    <t>L1307</t>
  </si>
  <si>
    <t>L1308</t>
  </si>
  <si>
    <t>L1309</t>
  </si>
  <si>
    <t>L1310</t>
  </si>
  <si>
    <t>L1311</t>
  </si>
  <si>
    <t>L1312</t>
  </si>
  <si>
    <t>L1313</t>
  </si>
  <si>
    <t>L1314</t>
  </si>
  <si>
    <t>L1315</t>
  </si>
  <si>
    <t>L1316</t>
  </si>
  <si>
    <t>L1317</t>
  </si>
  <si>
    <t>L1318</t>
  </si>
  <si>
    <t>L1319</t>
  </si>
  <si>
    <t>L1320</t>
  </si>
  <si>
    <t>L1321</t>
  </si>
  <si>
    <t>L1322</t>
  </si>
  <si>
    <t>L1323</t>
  </si>
  <si>
    <t>L1324</t>
  </si>
  <si>
    <t>L1325</t>
  </si>
  <si>
    <t>L1326</t>
  </si>
  <si>
    <t>L1327</t>
  </si>
  <si>
    <t>L1328</t>
  </si>
  <si>
    <t>L1329</t>
  </si>
  <si>
    <t>L1330</t>
  </si>
  <si>
    <t>L1331</t>
  </si>
  <si>
    <t>L1332</t>
  </si>
  <si>
    <t>L1333</t>
  </si>
  <si>
    <t>L1334</t>
  </si>
  <si>
    <t>L1335</t>
  </si>
  <si>
    <t>L1336</t>
  </si>
  <si>
    <t>L1337</t>
  </si>
  <si>
    <t>L1338</t>
  </si>
  <si>
    <t>L1339</t>
  </si>
  <si>
    <t>L1340</t>
  </si>
  <si>
    <t>L1341</t>
  </si>
  <si>
    <t>L1342</t>
  </si>
  <si>
    <t>L1343</t>
  </si>
  <si>
    <t>L1344</t>
  </si>
  <si>
    <t>L1345</t>
  </si>
  <si>
    <t>L1346</t>
  </si>
  <si>
    <t>L1347</t>
  </si>
  <si>
    <t>L1348</t>
  </si>
  <si>
    <t>L1349</t>
  </si>
  <si>
    <t>L1350</t>
  </si>
  <si>
    <t>L1351</t>
  </si>
  <si>
    <t>L1352</t>
  </si>
  <si>
    <t>L1353</t>
  </si>
  <si>
    <t>L1354</t>
  </si>
  <si>
    <t>L1355</t>
  </si>
  <si>
    <t>L1356</t>
  </si>
  <si>
    <t>L1357</t>
  </si>
  <si>
    <t>L1358</t>
  </si>
  <si>
    <t>L1359</t>
  </si>
  <si>
    <t>L1360</t>
  </si>
  <si>
    <t>L1361</t>
  </si>
  <si>
    <t>L1362</t>
  </si>
  <si>
    <t>L1363</t>
  </si>
  <si>
    <t>L1364</t>
  </si>
  <si>
    <t>L1365</t>
  </si>
  <si>
    <t>L1366</t>
  </si>
  <si>
    <t>L1367</t>
  </si>
  <si>
    <t>L1368</t>
  </si>
  <si>
    <t>L1369</t>
  </si>
  <si>
    <t>L1370</t>
  </si>
  <si>
    <t>L1371</t>
  </si>
  <si>
    <t>L1372</t>
  </si>
  <si>
    <t>L1373</t>
  </si>
  <si>
    <t>L1374</t>
  </si>
  <si>
    <t>L1375</t>
  </si>
  <si>
    <t>L1376</t>
  </si>
  <si>
    <t>L1377</t>
  </si>
  <si>
    <t>L1378</t>
  </si>
  <si>
    <t>L1379</t>
  </si>
  <si>
    <t>L1380</t>
  </si>
  <si>
    <t>L1381</t>
  </si>
  <si>
    <t>L1382</t>
  </si>
  <si>
    <t>L1383</t>
  </si>
  <si>
    <t>L1384</t>
  </si>
  <si>
    <t>L1385</t>
  </si>
  <si>
    <t>L1386</t>
  </si>
  <si>
    <t>L1387</t>
  </si>
  <si>
    <t>L1388</t>
  </si>
  <si>
    <t>L1389</t>
  </si>
  <si>
    <t>L1390</t>
  </si>
  <si>
    <t>L1391</t>
  </si>
  <si>
    <t>L1392</t>
  </si>
  <si>
    <t>L1393</t>
  </si>
  <si>
    <t>L1394</t>
  </si>
  <si>
    <t>L1395</t>
  </si>
  <si>
    <t>L1396</t>
  </si>
  <si>
    <t>L1397</t>
  </si>
  <si>
    <t>L1398</t>
  </si>
  <si>
    <t>L1399</t>
  </si>
  <si>
    <t>L1400</t>
  </si>
  <si>
    <t>L1401</t>
  </si>
  <si>
    <t>L1402</t>
  </si>
  <si>
    <t>L1403</t>
  </si>
  <si>
    <t>L1404</t>
  </si>
  <si>
    <t>L1405</t>
  </si>
  <si>
    <t>L1406</t>
  </si>
  <si>
    <t>L1407</t>
  </si>
  <si>
    <t>L1408</t>
  </si>
  <si>
    <t>L1409</t>
  </si>
  <si>
    <t>L1410</t>
  </si>
  <si>
    <t>L1411</t>
  </si>
  <si>
    <t>L1412</t>
  </si>
  <si>
    <t>L1413</t>
  </si>
  <si>
    <t>L1414</t>
  </si>
  <si>
    <t>L1415</t>
  </si>
  <si>
    <t>L1416</t>
  </si>
  <si>
    <t>L1417</t>
  </si>
  <si>
    <t>L1418</t>
  </si>
  <si>
    <t>L1419</t>
  </si>
  <si>
    <t>L1420</t>
  </si>
  <si>
    <t>L1421</t>
  </si>
  <si>
    <t>L1422</t>
  </si>
  <si>
    <t>L1423</t>
  </si>
  <si>
    <t>L1424</t>
  </si>
  <si>
    <t>L1425</t>
  </si>
  <si>
    <t>L1426</t>
  </si>
  <si>
    <t>L1427</t>
  </si>
  <si>
    <t>L1428</t>
  </si>
  <si>
    <t>L1429</t>
  </si>
  <si>
    <t>L1430</t>
  </si>
  <si>
    <t>L1431</t>
  </si>
  <si>
    <t>L1432</t>
  </si>
  <si>
    <t>L1433</t>
  </si>
  <si>
    <t>L1434</t>
  </si>
  <si>
    <t>L1435</t>
  </si>
  <si>
    <t>L1436</t>
  </si>
  <si>
    <t>L1437</t>
  </si>
  <si>
    <t>L1438</t>
  </si>
  <si>
    <t>L1439</t>
  </si>
  <si>
    <t>L1440</t>
  </si>
  <si>
    <t>L1441</t>
  </si>
  <si>
    <t>L1442</t>
  </si>
  <si>
    <t>L1443</t>
  </si>
  <si>
    <t>L1444</t>
  </si>
  <si>
    <t>L1445</t>
  </si>
  <si>
    <t>L1446</t>
  </si>
  <si>
    <t>L1447</t>
  </si>
  <si>
    <t>L1448</t>
  </si>
  <si>
    <t>L1449</t>
  </si>
  <si>
    <t>L1450</t>
  </si>
  <si>
    <t>L1451</t>
  </si>
  <si>
    <t>L1452</t>
  </si>
  <si>
    <t>L1453</t>
  </si>
  <si>
    <t>L1454</t>
  </si>
  <si>
    <t>L1455</t>
  </si>
  <si>
    <t>L1456</t>
  </si>
  <si>
    <t>L1457</t>
  </si>
  <si>
    <t>L1458</t>
  </si>
  <si>
    <t>L1459</t>
  </si>
  <si>
    <t>L1460</t>
  </si>
  <si>
    <t>L1461</t>
  </si>
  <si>
    <t>L1462</t>
  </si>
  <si>
    <t>L1463</t>
  </si>
  <si>
    <t>L1464</t>
  </si>
  <si>
    <t>L1465</t>
  </si>
  <si>
    <t>L1466</t>
  </si>
  <si>
    <t>L1467</t>
  </si>
  <si>
    <t>L1468</t>
  </si>
  <si>
    <t>L1469</t>
  </si>
  <si>
    <t>L1470</t>
  </si>
  <si>
    <t>L1471</t>
  </si>
  <si>
    <t>L1472</t>
  </si>
  <si>
    <t>L1473</t>
  </si>
  <si>
    <t>L1474</t>
  </si>
  <si>
    <t>L1475</t>
  </si>
  <si>
    <t>L1476</t>
  </si>
  <si>
    <t>L1477</t>
  </si>
  <si>
    <t>L1478</t>
  </si>
  <si>
    <t>L1479</t>
  </si>
  <si>
    <t>L1480</t>
  </si>
  <si>
    <t>L1481</t>
  </si>
  <si>
    <t>L1482</t>
  </si>
  <si>
    <t>L1483</t>
  </si>
  <si>
    <t>L1484</t>
  </si>
  <si>
    <t>L1485</t>
  </si>
  <si>
    <t>L1486</t>
  </si>
  <si>
    <t>L1487</t>
  </si>
  <si>
    <t>L1488</t>
  </si>
  <si>
    <t>L1489</t>
  </si>
  <si>
    <t>L1490</t>
  </si>
  <si>
    <t>L1491</t>
  </si>
  <si>
    <t>L1492</t>
  </si>
  <si>
    <t>L1493</t>
  </si>
  <si>
    <t>L1494</t>
  </si>
  <si>
    <t>L1495</t>
  </si>
  <si>
    <t>L1496</t>
  </si>
  <si>
    <t>L1497</t>
  </si>
  <si>
    <t>L1498</t>
  </si>
  <si>
    <t>L1499</t>
  </si>
  <si>
    <t>L1500</t>
  </si>
  <si>
    <t>Transaction ID</t>
  </si>
  <si>
    <t>Transaction Date</t>
  </si>
  <si>
    <t>Transaction Type</t>
  </si>
  <si>
    <t>Amount</t>
  </si>
  <si>
    <t>Deposit</t>
  </si>
  <si>
    <t>T5500</t>
  </si>
  <si>
    <t>Withdrawal</t>
  </si>
  <si>
    <t>T5499</t>
  </si>
  <si>
    <t>T5498</t>
  </si>
  <si>
    <t>T5497</t>
  </si>
  <si>
    <t>T5496</t>
  </si>
  <si>
    <t>T5495</t>
  </si>
  <si>
    <t>T5494</t>
  </si>
  <si>
    <t>T5493</t>
  </si>
  <si>
    <t>T5492</t>
  </si>
  <si>
    <t>T5491</t>
  </si>
  <si>
    <t>T5490</t>
  </si>
  <si>
    <t>T5489</t>
  </si>
  <si>
    <t>T5488</t>
  </si>
  <si>
    <t>T5487</t>
  </si>
  <si>
    <t>T5486</t>
  </si>
  <si>
    <t>T5485</t>
  </si>
  <si>
    <t>T5484</t>
  </si>
  <si>
    <t>T5483</t>
  </si>
  <si>
    <t>T5482</t>
  </si>
  <si>
    <t>T5481</t>
  </si>
  <si>
    <t>T5480</t>
  </si>
  <si>
    <t>T5479</t>
  </si>
  <si>
    <t>T5478</t>
  </si>
  <si>
    <t>T5477</t>
  </si>
  <si>
    <t>T5476</t>
  </si>
  <si>
    <t>T5475</t>
  </si>
  <si>
    <t>T5474</t>
  </si>
  <si>
    <t>T5473</t>
  </si>
  <si>
    <t>T5472</t>
  </si>
  <si>
    <t>T5471</t>
  </si>
  <si>
    <t>T5470</t>
  </si>
  <si>
    <t>T5469</t>
  </si>
  <si>
    <t>T5468</t>
  </si>
  <si>
    <t>T5467</t>
  </si>
  <si>
    <t>T5466</t>
  </si>
  <si>
    <t>T5465</t>
  </si>
  <si>
    <t>T5464</t>
  </si>
  <si>
    <t>T5463</t>
  </si>
  <si>
    <t>T5462</t>
  </si>
  <si>
    <t>T5461</t>
  </si>
  <si>
    <t>T5460</t>
  </si>
  <si>
    <t>T5459</t>
  </si>
  <si>
    <t>T5458</t>
  </si>
  <si>
    <t>T5457</t>
  </si>
  <si>
    <t>T5456</t>
  </si>
  <si>
    <t>T5455</t>
  </si>
  <si>
    <t>T5454</t>
  </si>
  <si>
    <t>T5453</t>
  </si>
  <si>
    <t>T5452</t>
  </si>
  <si>
    <t>T5451</t>
  </si>
  <si>
    <t>T5450</t>
  </si>
  <si>
    <t>T5449</t>
  </si>
  <si>
    <t>T5448</t>
  </si>
  <si>
    <t>T5447</t>
  </si>
  <si>
    <t>T5446</t>
  </si>
  <si>
    <t>T5445</t>
  </si>
  <si>
    <t>T5444</t>
  </si>
  <si>
    <t>T5443</t>
  </si>
  <si>
    <t>T5442</t>
  </si>
  <si>
    <t>T5441</t>
  </si>
  <si>
    <t>T5440</t>
  </si>
  <si>
    <t>T5439</t>
  </si>
  <si>
    <t>T5438</t>
  </si>
  <si>
    <t>T5437</t>
  </si>
  <si>
    <t>T5436</t>
  </si>
  <si>
    <t>T5435</t>
  </si>
  <si>
    <t>T5434</t>
  </si>
  <si>
    <t>T5433</t>
  </si>
  <si>
    <t>T5432</t>
  </si>
  <si>
    <t>T5431</t>
  </si>
  <si>
    <t>T5430</t>
  </si>
  <si>
    <t>T5429</t>
  </si>
  <si>
    <t>T5428</t>
  </si>
  <si>
    <t>T5427</t>
  </si>
  <si>
    <t>T5426</t>
  </si>
  <si>
    <t>T5425</t>
  </si>
  <si>
    <t>T5424</t>
  </si>
  <si>
    <t>T5423</t>
  </si>
  <si>
    <t>T5422</t>
  </si>
  <si>
    <t>T5421</t>
  </si>
  <si>
    <t>T5420</t>
  </si>
  <si>
    <t>T5419</t>
  </si>
  <si>
    <t>T5418</t>
  </si>
  <si>
    <t>T5417</t>
  </si>
  <si>
    <t>T5416</t>
  </si>
  <si>
    <t>T5415</t>
  </si>
  <si>
    <t>T5414</t>
  </si>
  <si>
    <t>T5413</t>
  </si>
  <si>
    <t>T5412</t>
  </si>
  <si>
    <t>T5411</t>
  </si>
  <si>
    <t>T5410</t>
  </si>
  <si>
    <t>T5409</t>
  </si>
  <si>
    <t>T5408</t>
  </si>
  <si>
    <t>T5407</t>
  </si>
  <si>
    <t>T5406</t>
  </si>
  <si>
    <t>T5405</t>
  </si>
  <si>
    <t>T5404</t>
  </si>
  <si>
    <t>T5403</t>
  </si>
  <si>
    <t>T5402</t>
  </si>
  <si>
    <t>T5401</t>
  </si>
  <si>
    <t>T5400</t>
  </si>
  <si>
    <t>T5399</t>
  </si>
  <si>
    <t>T5398</t>
  </si>
  <si>
    <t>T5397</t>
  </si>
  <si>
    <t>T5396</t>
  </si>
  <si>
    <t>T5395</t>
  </si>
  <si>
    <t>T5394</t>
  </si>
  <si>
    <t>T5393</t>
  </si>
  <si>
    <t>T5392</t>
  </si>
  <si>
    <t>T5391</t>
  </si>
  <si>
    <t>T5390</t>
  </si>
  <si>
    <t>T5389</t>
  </si>
  <si>
    <t>T5388</t>
  </si>
  <si>
    <t>T5387</t>
  </si>
  <si>
    <t>T5386</t>
  </si>
  <si>
    <t>T5385</t>
  </si>
  <si>
    <t>T5384</t>
  </si>
  <si>
    <t>T5383</t>
  </si>
  <si>
    <t>T5382</t>
  </si>
  <si>
    <t>T5381</t>
  </si>
  <si>
    <t>T5380</t>
  </si>
  <si>
    <t>T5379</t>
  </si>
  <si>
    <t>T5378</t>
  </si>
  <si>
    <t>T5377</t>
  </si>
  <si>
    <t>T5376</t>
  </si>
  <si>
    <t>T5375</t>
  </si>
  <si>
    <t>T5374</t>
  </si>
  <si>
    <t>T5373</t>
  </si>
  <si>
    <t>T5372</t>
  </si>
  <si>
    <t>T5371</t>
  </si>
  <si>
    <t>T5370</t>
  </si>
  <si>
    <t>T5369</t>
  </si>
  <si>
    <t>T5368</t>
  </si>
  <si>
    <t>T5367</t>
  </si>
  <si>
    <t>T5366</t>
  </si>
  <si>
    <t>T5365</t>
  </si>
  <si>
    <t>T5364</t>
  </si>
  <si>
    <t>T5363</t>
  </si>
  <si>
    <t>T5362</t>
  </si>
  <si>
    <t>T5361</t>
  </si>
  <si>
    <t>T5360</t>
  </si>
  <si>
    <t>T5359</t>
  </si>
  <si>
    <t>T5358</t>
  </si>
  <si>
    <t>T5357</t>
  </si>
  <si>
    <t>T5356</t>
  </si>
  <si>
    <t>T5355</t>
  </si>
  <si>
    <t>T5354</t>
  </si>
  <si>
    <t>T5353</t>
  </si>
  <si>
    <t>T5352</t>
  </si>
  <si>
    <t>T5351</t>
  </si>
  <si>
    <t>T5350</t>
  </si>
  <si>
    <t>T5349</t>
  </si>
  <si>
    <t>T5348</t>
  </si>
  <si>
    <t>T5347</t>
  </si>
  <si>
    <t>T5346</t>
  </si>
  <si>
    <t>T5345</t>
  </si>
  <si>
    <t>T5344</t>
  </si>
  <si>
    <t>T5343</t>
  </si>
  <si>
    <t>T5342</t>
  </si>
  <si>
    <t>T5341</t>
  </si>
  <si>
    <t>T5340</t>
  </si>
  <si>
    <t>T5339</t>
  </si>
  <si>
    <t>T5338</t>
  </si>
  <si>
    <t>T5337</t>
  </si>
  <si>
    <t>T5336</t>
  </si>
  <si>
    <t>T5335</t>
  </si>
  <si>
    <t>T5334</t>
  </si>
  <si>
    <t>T5333</t>
  </si>
  <si>
    <t>T5332</t>
  </si>
  <si>
    <t>T5331</t>
  </si>
  <si>
    <t>T5330</t>
  </si>
  <si>
    <t>T5329</t>
  </si>
  <si>
    <t>T5328</t>
  </si>
  <si>
    <t>T5327</t>
  </si>
  <si>
    <t>T5326</t>
  </si>
  <si>
    <t>T5325</t>
  </si>
  <si>
    <t>T5324</t>
  </si>
  <si>
    <t>T5323</t>
  </si>
  <si>
    <t>T5322</t>
  </si>
  <si>
    <t>T5321</t>
  </si>
  <si>
    <t>T5320</t>
  </si>
  <si>
    <t>T5319</t>
  </si>
  <si>
    <t>T5318</t>
  </si>
  <si>
    <t>T5317</t>
  </si>
  <si>
    <t>T5316</t>
  </si>
  <si>
    <t>T5315</t>
  </si>
  <si>
    <t>T5314</t>
  </si>
  <si>
    <t>T5313</t>
  </si>
  <si>
    <t>T5312</t>
  </si>
  <si>
    <t>T5311</t>
  </si>
  <si>
    <t>T5310</t>
  </si>
  <si>
    <t>T5309</t>
  </si>
  <si>
    <t>T5308</t>
  </si>
  <si>
    <t>T5307</t>
  </si>
  <si>
    <t>T5306</t>
  </si>
  <si>
    <t>T5305</t>
  </si>
  <si>
    <t>T5304</t>
  </si>
  <si>
    <t>T5303</t>
  </si>
  <si>
    <t>T5302</t>
  </si>
  <si>
    <t>T5301</t>
  </si>
  <si>
    <t>T5300</t>
  </si>
  <si>
    <t>T5299</t>
  </si>
  <si>
    <t>T5298</t>
  </si>
  <si>
    <t>T5297</t>
  </si>
  <si>
    <t>T5296</t>
  </si>
  <si>
    <t>T5295</t>
  </si>
  <si>
    <t>T5294</t>
  </si>
  <si>
    <t>T5293</t>
  </si>
  <si>
    <t>T5292</t>
  </si>
  <si>
    <t>T5291</t>
  </si>
  <si>
    <t>T5290</t>
  </si>
  <si>
    <t>T5289</t>
  </si>
  <si>
    <t>T5288</t>
  </si>
  <si>
    <t>T5287</t>
  </si>
  <si>
    <t>T5286</t>
  </si>
  <si>
    <t>T5285</t>
  </si>
  <si>
    <t>T5284</t>
  </si>
  <si>
    <t>T5283</t>
  </si>
  <si>
    <t>T5282</t>
  </si>
  <si>
    <t>T5281</t>
  </si>
  <si>
    <t>T5280</t>
  </si>
  <si>
    <t>T5279</t>
  </si>
  <si>
    <t>T5278</t>
  </si>
  <si>
    <t>T5277</t>
  </si>
  <si>
    <t>T5276</t>
  </si>
  <si>
    <t>T5275</t>
  </si>
  <si>
    <t>T5274</t>
  </si>
  <si>
    <t>T5273</t>
  </si>
  <si>
    <t>T5272</t>
  </si>
  <si>
    <t>T5271</t>
  </si>
  <si>
    <t>T5270</t>
  </si>
  <si>
    <t>T5269</t>
  </si>
  <si>
    <t>T5268</t>
  </si>
  <si>
    <t>T5267</t>
  </si>
  <si>
    <t>T5266</t>
  </si>
  <si>
    <t>T5265</t>
  </si>
  <si>
    <t>T5264</t>
  </si>
  <si>
    <t>T5263</t>
  </si>
  <si>
    <t>T5262</t>
  </si>
  <si>
    <t>T5261</t>
  </si>
  <si>
    <t>T5260</t>
  </si>
  <si>
    <t>T5259</t>
  </si>
  <si>
    <t>T5258</t>
  </si>
  <si>
    <t>T5257</t>
  </si>
  <si>
    <t>T5256</t>
  </si>
  <si>
    <t>T5255</t>
  </si>
  <si>
    <t>T5254</t>
  </si>
  <si>
    <t>T5253</t>
  </si>
  <si>
    <t>T5252</t>
  </si>
  <si>
    <t>T5251</t>
  </si>
  <si>
    <t>T5250</t>
  </si>
  <si>
    <t>T5249</t>
  </si>
  <si>
    <t>T5248</t>
  </si>
  <si>
    <t>T5247</t>
  </si>
  <si>
    <t>T5246</t>
  </si>
  <si>
    <t>T5245</t>
  </si>
  <si>
    <t>T5244</t>
  </si>
  <si>
    <t>T5243</t>
  </si>
  <si>
    <t>T5242</t>
  </si>
  <si>
    <t>T5241</t>
  </si>
  <si>
    <t>T5240</t>
  </si>
  <si>
    <t>T5239</t>
  </si>
  <si>
    <t>T5238</t>
  </si>
  <si>
    <t>T5237</t>
  </si>
  <si>
    <t>T5236</t>
  </si>
  <si>
    <t>T5235</t>
  </si>
  <si>
    <t>T5234</t>
  </si>
  <si>
    <t>T5233</t>
  </si>
  <si>
    <t>T5232</t>
  </si>
  <si>
    <t>T5231</t>
  </si>
  <si>
    <t>T5230</t>
  </si>
  <si>
    <t>T5229</t>
  </si>
  <si>
    <t>T5228</t>
  </si>
  <si>
    <t>T5227</t>
  </si>
  <si>
    <t>T5226</t>
  </si>
  <si>
    <t>T5225</t>
  </si>
  <si>
    <t>T5224</t>
  </si>
  <si>
    <t>T5223</t>
  </si>
  <si>
    <t>T5222</t>
  </si>
  <si>
    <t>T5221</t>
  </si>
  <si>
    <t>T5220</t>
  </si>
  <si>
    <t>T5219</t>
  </si>
  <si>
    <t>T5218</t>
  </si>
  <si>
    <t>T5217</t>
  </si>
  <si>
    <t>T5216</t>
  </si>
  <si>
    <t>T5215</t>
  </si>
  <si>
    <t>T5214</t>
  </si>
  <si>
    <t>T5213</t>
  </si>
  <si>
    <t>T5212</t>
  </si>
  <si>
    <t>T5211</t>
  </si>
  <si>
    <t>T5210</t>
  </si>
  <si>
    <t>T5209</t>
  </si>
  <si>
    <t>T5208</t>
  </si>
  <si>
    <t>T5207</t>
  </si>
  <si>
    <t>T5206</t>
  </si>
  <si>
    <t>T5205</t>
  </si>
  <si>
    <t>T5204</t>
  </si>
  <si>
    <t>T5203</t>
  </si>
  <si>
    <t>T5202</t>
  </si>
  <si>
    <t>T5201</t>
  </si>
  <si>
    <t>T5200</t>
  </si>
  <si>
    <t>T5199</t>
  </si>
  <si>
    <t>T5198</t>
  </si>
  <si>
    <t>T5197</t>
  </si>
  <si>
    <t>T5196</t>
  </si>
  <si>
    <t>T5195</t>
  </si>
  <si>
    <t>T5194</t>
  </si>
  <si>
    <t>T5193</t>
  </si>
  <si>
    <t>T5192</t>
  </si>
  <si>
    <t>T5191</t>
  </si>
  <si>
    <t>T5190</t>
  </si>
  <si>
    <t>T5189</t>
  </si>
  <si>
    <t>T5188</t>
  </si>
  <si>
    <t>T5187</t>
  </si>
  <si>
    <t>T5186</t>
  </si>
  <si>
    <t>T5185</t>
  </si>
  <si>
    <t>T5184</t>
  </si>
  <si>
    <t>T5183</t>
  </si>
  <si>
    <t>T5182</t>
  </si>
  <si>
    <t>T5181</t>
  </si>
  <si>
    <t>T5180</t>
  </si>
  <si>
    <t>T5179</t>
  </si>
  <si>
    <t>T5178</t>
  </si>
  <si>
    <t>T5177</t>
  </si>
  <si>
    <t>T5176</t>
  </si>
  <si>
    <t>T5175</t>
  </si>
  <si>
    <t>T5174</t>
  </si>
  <si>
    <t>T5173</t>
  </si>
  <si>
    <t>T5172</t>
  </si>
  <si>
    <t>T5171</t>
  </si>
  <si>
    <t>T5170</t>
  </si>
  <si>
    <t>T5169</t>
  </si>
  <si>
    <t>T5168</t>
  </si>
  <si>
    <t>T5167</t>
  </si>
  <si>
    <t>T5166</t>
  </si>
  <si>
    <t>T5165</t>
  </si>
  <si>
    <t>T5164</t>
  </si>
  <si>
    <t>T5163</t>
  </si>
  <si>
    <t>T5162</t>
  </si>
  <si>
    <t>T5161</t>
  </si>
  <si>
    <t>T5160</t>
  </si>
  <si>
    <t>T5159</t>
  </si>
  <si>
    <t>T5158</t>
  </si>
  <si>
    <t>T5157</t>
  </si>
  <si>
    <t>T5156</t>
  </si>
  <si>
    <t>T5155</t>
  </si>
  <si>
    <t>T5154</t>
  </si>
  <si>
    <t>T5153</t>
  </si>
  <si>
    <t>T5152</t>
  </si>
  <si>
    <t>T5151</t>
  </si>
  <si>
    <t>T5150</t>
  </si>
  <si>
    <t>T5149</t>
  </si>
  <si>
    <t>T5148</t>
  </si>
  <si>
    <t>T5147</t>
  </si>
  <si>
    <t>T5146</t>
  </si>
  <si>
    <t>T5145</t>
  </si>
  <si>
    <t>T5144</t>
  </si>
  <si>
    <t>T5143</t>
  </si>
  <si>
    <t>T5142</t>
  </si>
  <si>
    <t>T5141</t>
  </si>
  <si>
    <t>T5140</t>
  </si>
  <si>
    <t>T5139</t>
  </si>
  <si>
    <t>T5138</t>
  </si>
  <si>
    <t>T5137</t>
  </si>
  <si>
    <t>T5136</t>
  </si>
  <si>
    <t>T5135</t>
  </si>
  <si>
    <t>T5134</t>
  </si>
  <si>
    <t>T5133</t>
  </si>
  <si>
    <t>T5132</t>
  </si>
  <si>
    <t>T5131</t>
  </si>
  <si>
    <t>T5130</t>
  </si>
  <si>
    <t>T5129</t>
  </si>
  <si>
    <t>T5128</t>
  </si>
  <si>
    <t>T5127</t>
  </si>
  <si>
    <t>T5126</t>
  </si>
  <si>
    <t>T5125</t>
  </si>
  <si>
    <t>T5124</t>
  </si>
  <si>
    <t>T5123</t>
  </si>
  <si>
    <t>T5122</t>
  </si>
  <si>
    <t>T5121</t>
  </si>
  <si>
    <t>T5120</t>
  </si>
  <si>
    <t>T5119</t>
  </si>
  <si>
    <t>T5118</t>
  </si>
  <si>
    <t>T5117</t>
  </si>
  <si>
    <t>T5116</t>
  </si>
  <si>
    <t>T5115</t>
  </si>
  <si>
    <t>T5114</t>
  </si>
  <si>
    <t>T5113</t>
  </si>
  <si>
    <t>T5112</t>
  </si>
  <si>
    <t>T5111</t>
  </si>
  <si>
    <t>T5110</t>
  </si>
  <si>
    <t>T5109</t>
  </si>
  <si>
    <t>T5108</t>
  </si>
  <si>
    <t>T5107</t>
  </si>
  <si>
    <t>T5106</t>
  </si>
  <si>
    <t>T5105</t>
  </si>
  <si>
    <t>T5104</t>
  </si>
  <si>
    <t>T5103</t>
  </si>
  <si>
    <t>T5102</t>
  </si>
  <si>
    <t>T5101</t>
  </si>
  <si>
    <t>T5100</t>
  </si>
  <si>
    <t>T5099</t>
  </si>
  <si>
    <t>T5098</t>
  </si>
  <si>
    <t>T5097</t>
  </si>
  <si>
    <t>T5096</t>
  </si>
  <si>
    <t>T5095</t>
  </si>
  <si>
    <t>T5094</t>
  </si>
  <si>
    <t>T5093</t>
  </si>
  <si>
    <t>T5092</t>
  </si>
  <si>
    <t>T5091</t>
  </si>
  <si>
    <t>T5090</t>
  </si>
  <si>
    <t>T5089</t>
  </si>
  <si>
    <t>T5088</t>
  </si>
  <si>
    <t>T5087</t>
  </si>
  <si>
    <t>T5086</t>
  </si>
  <si>
    <t>T5085</t>
  </si>
  <si>
    <t>T5084</t>
  </si>
  <si>
    <t>T5083</t>
  </si>
  <si>
    <t>T5082</t>
  </si>
  <si>
    <t>T5081</t>
  </si>
  <si>
    <t>T5080</t>
  </si>
  <si>
    <t>T5079</t>
  </si>
  <si>
    <t>T5078</t>
  </si>
  <si>
    <t>T5077</t>
  </si>
  <si>
    <t>T5076</t>
  </si>
  <si>
    <t>T5075</t>
  </si>
  <si>
    <t>T5074</t>
  </si>
  <si>
    <t>T5073</t>
  </si>
  <si>
    <t>T5072</t>
  </si>
  <si>
    <t>T5071</t>
  </si>
  <si>
    <t>T5070</t>
  </si>
  <si>
    <t>T5069</t>
  </si>
  <si>
    <t>T5068</t>
  </si>
  <si>
    <t>T5067</t>
  </si>
  <si>
    <t>T5066</t>
  </si>
  <si>
    <t>T5065</t>
  </si>
  <si>
    <t>T5064</t>
  </si>
  <si>
    <t>T5063</t>
  </si>
  <si>
    <t>T5062</t>
  </si>
  <si>
    <t>T5061</t>
  </si>
  <si>
    <t>T5060</t>
  </si>
  <si>
    <t>T5059</t>
  </si>
  <si>
    <t>T5058</t>
  </si>
  <si>
    <t>T5057</t>
  </si>
  <si>
    <t>T5056</t>
  </si>
  <si>
    <t>T5055</t>
  </si>
  <si>
    <t>T5054</t>
  </si>
  <si>
    <t>T5053</t>
  </si>
  <si>
    <t>T5052</t>
  </si>
  <si>
    <t>T5051</t>
  </si>
  <si>
    <t>T5050</t>
  </si>
  <si>
    <t>T5049</t>
  </si>
  <si>
    <t>T5048</t>
  </si>
  <si>
    <t>T5047</t>
  </si>
  <si>
    <t>T5046</t>
  </si>
  <si>
    <t>T5045</t>
  </si>
  <si>
    <t>T5044</t>
  </si>
  <si>
    <t>T5043</t>
  </si>
  <si>
    <t>T5042</t>
  </si>
  <si>
    <t>T5041</t>
  </si>
  <si>
    <t>T5040</t>
  </si>
  <si>
    <t>T5039</t>
  </si>
  <si>
    <t>T5038</t>
  </si>
  <si>
    <t>T5037</t>
  </si>
  <si>
    <t>T5036</t>
  </si>
  <si>
    <t>T5035</t>
  </si>
  <si>
    <t>T5034</t>
  </si>
  <si>
    <t>T5033</t>
  </si>
  <si>
    <t>T5032</t>
  </si>
  <si>
    <t>T5031</t>
  </si>
  <si>
    <t>T5030</t>
  </si>
  <si>
    <t>T5029</t>
  </si>
  <si>
    <t>T5028</t>
  </si>
  <si>
    <t>T5027</t>
  </si>
  <si>
    <t>T5026</t>
  </si>
  <si>
    <t>T5025</t>
  </si>
  <si>
    <t>T5024</t>
  </si>
  <si>
    <t>T5023</t>
  </si>
  <si>
    <t>T5022</t>
  </si>
  <si>
    <t>T5021</t>
  </si>
  <si>
    <t>T5020</t>
  </si>
  <si>
    <t>T5019</t>
  </si>
  <si>
    <t>T5018</t>
  </si>
  <si>
    <t>T5017</t>
  </si>
  <si>
    <t>T5016</t>
  </si>
  <si>
    <t>T5015</t>
  </si>
  <si>
    <t>T5014</t>
  </si>
  <si>
    <t>T5013</t>
  </si>
  <si>
    <t>T5012</t>
  </si>
  <si>
    <t>T5011</t>
  </si>
  <si>
    <t>T5010</t>
  </si>
  <si>
    <t>T5009</t>
  </si>
  <si>
    <t>T5008</t>
  </si>
  <si>
    <t>T5007</t>
  </si>
  <si>
    <t>T5006</t>
  </si>
  <si>
    <t>T5005</t>
  </si>
  <si>
    <t>T5004</t>
  </si>
  <si>
    <t>T5003</t>
  </si>
  <si>
    <t>T5002</t>
  </si>
  <si>
    <t>T5001</t>
  </si>
  <si>
    <t>Branch Name</t>
  </si>
  <si>
    <t>Region</t>
  </si>
  <si>
    <t>Target Deposit Goal</t>
  </si>
  <si>
    <t>B001</t>
  </si>
  <si>
    <t>Branch1</t>
  </si>
  <si>
    <t>East</t>
  </si>
  <si>
    <t>B002</t>
  </si>
  <si>
    <t>Branch2</t>
  </si>
  <si>
    <t>West</t>
  </si>
  <si>
    <t>B003</t>
  </si>
  <si>
    <t>Branch3</t>
  </si>
  <si>
    <t>South</t>
  </si>
  <si>
    <t>B004</t>
  </si>
  <si>
    <t>Branch4</t>
  </si>
  <si>
    <t>B005</t>
  </si>
  <si>
    <t>Branch5</t>
  </si>
  <si>
    <t>B006</t>
  </si>
  <si>
    <t>Branch6</t>
  </si>
  <si>
    <t>B007</t>
  </si>
  <si>
    <t>Branch7</t>
  </si>
  <si>
    <t>North</t>
  </si>
  <si>
    <t>B008</t>
  </si>
  <si>
    <t>Branch8</t>
  </si>
  <si>
    <t>B009</t>
  </si>
  <si>
    <t>Branch9</t>
  </si>
  <si>
    <t>B010</t>
  </si>
  <si>
    <t>Branch10</t>
  </si>
  <si>
    <t>Executive Metrics</t>
  </si>
  <si>
    <t>Total Customers</t>
  </si>
  <si>
    <t>Default Rate</t>
  </si>
  <si>
    <t>Total Deposits</t>
  </si>
  <si>
    <t>Total Withdrawals</t>
  </si>
  <si>
    <t>Total Loans</t>
  </si>
  <si>
    <t>Goal Attainment</t>
  </si>
  <si>
    <t>Row Labels</t>
  </si>
  <si>
    <t>Grand Total</t>
  </si>
  <si>
    <t>Column Labels</t>
  </si>
  <si>
    <t>Count of Customer_ID</t>
  </si>
  <si>
    <t>Sum of Credit Score</t>
  </si>
  <si>
    <t>Sum of Age</t>
  </si>
  <si>
    <t>Sum of Loan Amount</t>
  </si>
  <si>
    <t>Total Sum of Loan Amount</t>
  </si>
  <si>
    <t>Total Sum of DTI</t>
  </si>
  <si>
    <t>Sum of DTI</t>
  </si>
  <si>
    <t>Total Count of Loan ID</t>
  </si>
  <si>
    <t>Count of Loan ID</t>
  </si>
  <si>
    <t>Count of Transaction ID</t>
  </si>
  <si>
    <t>Sum of Amount</t>
  </si>
  <si>
    <t>Count of Branch ID</t>
  </si>
  <si>
    <t>Sum of Target Deposit Goal</t>
  </si>
  <si>
    <t>Customer Analysis</t>
  </si>
  <si>
    <t>Loans Portfolio Analysis</t>
  </si>
  <si>
    <t>Transactions&amp; Cash Flow</t>
  </si>
  <si>
    <t>Branch &amp; Regional Targets</t>
  </si>
  <si>
    <t>Average  Credit Score</t>
  </si>
  <si>
    <t>Average  DTI Active Loan</t>
  </si>
  <si>
    <t>Average  DTI Default Loan</t>
  </si>
  <si>
    <t>Deposit Transaction</t>
  </si>
  <si>
    <t>Withdrawal Transaction</t>
  </si>
  <si>
    <t>Total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</si>
</sst>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charset val="134"/>
      <scheme val="minor"/>
    </font>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3" fillId="0" borderId="0" xfId="0" applyFont="1"/>
    <xf numFmtId="0" fontId="2" fillId="0" borderId="0" xfId="0" applyFont="1"/>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2"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0" fontId="1" fillId="0" borderId="0" xfId="0" applyFont="1" applyAlignment="1">
      <alignment horizontal="center"/>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18" Type="http://schemas.microsoft.com/office/2007/relationships/slicerCache" Target="slicerCaches/slicerCache8.xml"/><Relationship Id="rId26" Type="http://schemas.microsoft.com/office/2007/relationships/slicerCache" Target="slicerCaches/slicerCache16.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microsoft.com/office/2007/relationships/slicerCache" Target="slicerCaches/slicerCache7.xml"/><Relationship Id="rId25" Type="http://schemas.microsoft.com/office/2007/relationships/slicerCache" Target="slicerCaches/slicerCache15.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07/relationships/slicerCache" Target="slicerCaches/slicerCache14.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07/relationships/slicerCache" Target="slicerCaches/slicerCache13.xml"/><Relationship Id="rId28" Type="http://schemas.openxmlformats.org/officeDocument/2006/relationships/styles" Target="styles.xml"/><Relationship Id="rId10" Type="http://schemas.openxmlformats.org/officeDocument/2006/relationships/pivotCacheDefinition" Target="pivotCache/pivotCacheDefinition4.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4.xml"/><Relationship Id="rId22" Type="http://schemas.microsoft.com/office/2007/relationships/slicerCache" Target="slicerCaches/slicerCache12.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 FInInsight Project.xlsx]Pivot_Analysis!PivotTable4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 Volume &amp; Cash</a:t>
            </a:r>
            <a:r>
              <a:rPr lang="en-US" baseline="0"/>
              <a:t> Flow By Type</a:t>
            </a:r>
            <a:endParaRPr lang="en-US"/>
          </a:p>
        </c:rich>
      </c:tx>
      <c:layout>
        <c:manualLayout>
          <c:xMode val="edge"/>
          <c:yMode val="edge"/>
          <c:x val="0.43686789151356076"/>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Pivot_Analysis!$B$31</c:f>
              <c:strCache>
                <c:ptCount val="1"/>
                <c:pt idx="0">
                  <c:v>Count of Transaction ID</c:v>
                </c:pt>
              </c:strCache>
            </c:strRef>
          </c:tx>
          <c:spPr>
            <a:solidFill>
              <a:schemeClr val="accent1"/>
            </a:solidFill>
            <a:ln>
              <a:noFill/>
            </a:ln>
            <a:effectLst/>
            <a:sp3d/>
          </c:spPr>
          <c:invertIfNegative val="0"/>
          <c:cat>
            <c:strRef>
              <c:f>Pivot_Analysis!$A$32:$A$34</c:f>
              <c:strCache>
                <c:ptCount val="2"/>
                <c:pt idx="0">
                  <c:v>Deposit</c:v>
                </c:pt>
                <c:pt idx="1">
                  <c:v>Withdrawal</c:v>
                </c:pt>
              </c:strCache>
            </c:strRef>
          </c:cat>
          <c:val>
            <c:numRef>
              <c:f>Pivot_Analysis!$B$32:$B$34</c:f>
              <c:numCache>
                <c:formatCode>General</c:formatCode>
                <c:ptCount val="2"/>
                <c:pt idx="0">
                  <c:v>236</c:v>
                </c:pt>
                <c:pt idx="1">
                  <c:v>264</c:v>
                </c:pt>
              </c:numCache>
            </c:numRef>
          </c:val>
          <c:extLst>
            <c:ext xmlns:c16="http://schemas.microsoft.com/office/drawing/2014/chart" uri="{C3380CC4-5D6E-409C-BE32-E72D297353CC}">
              <c16:uniqueId val="{00000000-633F-4105-B388-B43114F2AA5A}"/>
            </c:ext>
          </c:extLst>
        </c:ser>
        <c:ser>
          <c:idx val="1"/>
          <c:order val="1"/>
          <c:tx>
            <c:strRef>
              <c:f>Pivot_Analysis!$C$31</c:f>
              <c:strCache>
                <c:ptCount val="1"/>
                <c:pt idx="0">
                  <c:v>Sum of Amount</c:v>
                </c:pt>
              </c:strCache>
            </c:strRef>
          </c:tx>
          <c:spPr>
            <a:solidFill>
              <a:schemeClr val="accent2"/>
            </a:solidFill>
            <a:ln>
              <a:noFill/>
            </a:ln>
            <a:effectLst/>
            <a:sp3d/>
          </c:spPr>
          <c:invertIfNegative val="0"/>
          <c:cat>
            <c:strRef>
              <c:f>Pivot_Analysis!$A$32:$A$34</c:f>
              <c:strCache>
                <c:ptCount val="2"/>
                <c:pt idx="0">
                  <c:v>Deposit</c:v>
                </c:pt>
                <c:pt idx="1">
                  <c:v>Withdrawal</c:v>
                </c:pt>
              </c:strCache>
            </c:strRef>
          </c:cat>
          <c:val>
            <c:numRef>
              <c:f>Pivot_Analysis!$C$32:$C$34</c:f>
              <c:numCache>
                <c:formatCode>General</c:formatCode>
                <c:ptCount val="2"/>
                <c:pt idx="0">
                  <c:v>5837000</c:v>
                </c:pt>
                <c:pt idx="1">
                  <c:v>7325000</c:v>
                </c:pt>
              </c:numCache>
            </c:numRef>
          </c:val>
          <c:extLst>
            <c:ext xmlns:c16="http://schemas.microsoft.com/office/drawing/2014/chart" uri="{C3380CC4-5D6E-409C-BE32-E72D297353CC}">
              <c16:uniqueId val="{00000001-633F-4105-B388-B43114F2AA5A}"/>
            </c:ext>
          </c:extLst>
        </c:ser>
        <c:dLbls>
          <c:showLegendKey val="0"/>
          <c:showVal val="0"/>
          <c:showCatName val="0"/>
          <c:showSerName val="0"/>
          <c:showPercent val="0"/>
          <c:showBubbleSize val="0"/>
        </c:dLbls>
        <c:gapWidth val="150"/>
        <c:shape val="box"/>
        <c:axId val="701497599"/>
        <c:axId val="701503359"/>
        <c:axId val="0"/>
      </c:bar3DChart>
      <c:catAx>
        <c:axId val="701497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503359"/>
        <c:crosses val="autoZero"/>
        <c:auto val="1"/>
        <c:lblAlgn val="ctr"/>
        <c:lblOffset val="100"/>
        <c:noMultiLvlLbl val="0"/>
      </c:catAx>
      <c:valAx>
        <c:axId val="701503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49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 FInInsight Project.xlsx]Pivot_Analysis!PivotTable5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Branch Deposit Targets &amp;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Pivot_Analysis!$B$38</c:f>
              <c:strCache>
                <c:ptCount val="1"/>
                <c:pt idx="0">
                  <c:v>Count of Branch ID</c:v>
                </c:pt>
              </c:strCache>
            </c:strRef>
          </c:tx>
          <c:spPr>
            <a:solidFill>
              <a:schemeClr val="accent1"/>
            </a:solidFill>
            <a:ln>
              <a:noFill/>
            </a:ln>
            <a:effectLst/>
            <a:sp3d/>
          </c:spPr>
          <c:invertIfNegative val="0"/>
          <c:cat>
            <c:strRef>
              <c:f>Pivot_Analysis!$A$39:$A$43</c:f>
              <c:strCache>
                <c:ptCount val="4"/>
                <c:pt idx="0">
                  <c:v>East</c:v>
                </c:pt>
                <c:pt idx="1">
                  <c:v>North</c:v>
                </c:pt>
                <c:pt idx="2">
                  <c:v>South</c:v>
                </c:pt>
                <c:pt idx="3">
                  <c:v>West</c:v>
                </c:pt>
              </c:strCache>
            </c:strRef>
          </c:cat>
          <c:val>
            <c:numRef>
              <c:f>Pivot_Analysis!$B$39:$B$43</c:f>
              <c:numCache>
                <c:formatCode>General</c:formatCode>
                <c:ptCount val="4"/>
                <c:pt idx="0">
                  <c:v>1</c:v>
                </c:pt>
                <c:pt idx="1">
                  <c:v>2</c:v>
                </c:pt>
                <c:pt idx="2">
                  <c:v>3</c:v>
                </c:pt>
                <c:pt idx="3">
                  <c:v>4</c:v>
                </c:pt>
              </c:numCache>
            </c:numRef>
          </c:val>
          <c:extLst>
            <c:ext xmlns:c16="http://schemas.microsoft.com/office/drawing/2014/chart" uri="{C3380CC4-5D6E-409C-BE32-E72D297353CC}">
              <c16:uniqueId val="{00000000-4700-46DD-9A33-4FFB236BF87B}"/>
            </c:ext>
          </c:extLst>
        </c:ser>
        <c:ser>
          <c:idx val="1"/>
          <c:order val="1"/>
          <c:tx>
            <c:strRef>
              <c:f>Pivot_Analysis!$C$38</c:f>
              <c:strCache>
                <c:ptCount val="1"/>
                <c:pt idx="0">
                  <c:v>Sum of Target Deposit Goal</c:v>
                </c:pt>
              </c:strCache>
            </c:strRef>
          </c:tx>
          <c:spPr>
            <a:solidFill>
              <a:schemeClr val="accent2"/>
            </a:solidFill>
            <a:ln>
              <a:noFill/>
            </a:ln>
            <a:effectLst/>
            <a:sp3d/>
          </c:spPr>
          <c:invertIfNegative val="0"/>
          <c:cat>
            <c:strRef>
              <c:f>Pivot_Analysis!$A$39:$A$43</c:f>
              <c:strCache>
                <c:ptCount val="4"/>
                <c:pt idx="0">
                  <c:v>East</c:v>
                </c:pt>
                <c:pt idx="1">
                  <c:v>North</c:v>
                </c:pt>
                <c:pt idx="2">
                  <c:v>South</c:v>
                </c:pt>
                <c:pt idx="3">
                  <c:v>West</c:v>
                </c:pt>
              </c:strCache>
            </c:strRef>
          </c:cat>
          <c:val>
            <c:numRef>
              <c:f>Pivot_Analysis!$C$39:$C$43</c:f>
              <c:numCache>
                <c:formatCode>General</c:formatCode>
                <c:ptCount val="4"/>
                <c:pt idx="0">
                  <c:v>208000000</c:v>
                </c:pt>
                <c:pt idx="1">
                  <c:v>830000000</c:v>
                </c:pt>
                <c:pt idx="2">
                  <c:v>673000000</c:v>
                </c:pt>
                <c:pt idx="3">
                  <c:v>969000000</c:v>
                </c:pt>
              </c:numCache>
            </c:numRef>
          </c:val>
          <c:extLst>
            <c:ext xmlns:c16="http://schemas.microsoft.com/office/drawing/2014/chart" uri="{C3380CC4-5D6E-409C-BE32-E72D297353CC}">
              <c16:uniqueId val="{00000001-4700-46DD-9A33-4FFB236BF87B}"/>
            </c:ext>
          </c:extLst>
        </c:ser>
        <c:dLbls>
          <c:showLegendKey val="0"/>
          <c:showVal val="0"/>
          <c:showCatName val="0"/>
          <c:showSerName val="0"/>
          <c:showPercent val="0"/>
          <c:showBubbleSize val="0"/>
        </c:dLbls>
        <c:gapWidth val="150"/>
        <c:shape val="box"/>
        <c:axId val="788557631"/>
        <c:axId val="788559071"/>
        <c:axId val="0"/>
      </c:bar3DChart>
      <c:catAx>
        <c:axId val="788557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559071"/>
        <c:crosses val="autoZero"/>
        <c:auto val="1"/>
        <c:lblAlgn val="ctr"/>
        <c:lblOffset val="100"/>
        <c:noMultiLvlLbl val="0"/>
      </c:catAx>
      <c:valAx>
        <c:axId val="78855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55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 FInInsight Project.xlsx]Pivot_Analysis!PivotTable2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Demographics &amp; Account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Pivot_Analysis!$B$2</c:f>
              <c:strCache>
                <c:ptCount val="1"/>
                <c:pt idx="0">
                  <c:v>Count of Customer_ID</c:v>
                </c:pt>
              </c:strCache>
            </c:strRef>
          </c:tx>
          <c:spPr>
            <a:solidFill>
              <a:schemeClr val="accent1"/>
            </a:solidFill>
            <a:ln>
              <a:noFill/>
            </a:ln>
            <a:effectLst/>
            <a:sp3d/>
          </c:spPr>
          <c:invertIfNegative val="0"/>
          <c:cat>
            <c:multiLvlStrRef>
              <c:f>Pivot_Analysis!$A$3:$A$15</c:f>
              <c:multiLvlStrCache>
                <c:ptCount val="8"/>
                <c:lvl>
                  <c:pt idx="0">
                    <c:v>Female</c:v>
                  </c:pt>
                  <c:pt idx="1">
                    <c:v>Male</c:v>
                  </c:pt>
                  <c:pt idx="2">
                    <c:v>Female</c:v>
                  </c:pt>
                  <c:pt idx="3">
                    <c:v>Male</c:v>
                  </c:pt>
                  <c:pt idx="4">
                    <c:v>Female</c:v>
                  </c:pt>
                  <c:pt idx="5">
                    <c:v>Male</c:v>
                  </c:pt>
                  <c:pt idx="6">
                    <c:v>Female</c:v>
                  </c:pt>
                  <c:pt idx="7">
                    <c:v>Male</c:v>
                  </c:pt>
                </c:lvl>
                <c:lvl>
                  <c:pt idx="0">
                    <c:v>Excellent</c:v>
                  </c:pt>
                  <c:pt idx="2">
                    <c:v>Fair</c:v>
                  </c:pt>
                  <c:pt idx="4">
                    <c:v>Good</c:v>
                  </c:pt>
                  <c:pt idx="6">
                    <c:v>Poor</c:v>
                  </c:pt>
                </c:lvl>
              </c:multiLvlStrCache>
            </c:multiLvlStrRef>
          </c:cat>
          <c:val>
            <c:numRef>
              <c:f>Pivot_Analysis!$B$3:$B$15</c:f>
              <c:numCache>
                <c:formatCode>General</c:formatCode>
                <c:ptCount val="8"/>
                <c:pt idx="0">
                  <c:v>73</c:v>
                </c:pt>
                <c:pt idx="1">
                  <c:v>92</c:v>
                </c:pt>
                <c:pt idx="2">
                  <c:v>38</c:v>
                </c:pt>
                <c:pt idx="3">
                  <c:v>40</c:v>
                </c:pt>
                <c:pt idx="4">
                  <c:v>45</c:v>
                </c:pt>
                <c:pt idx="5">
                  <c:v>45</c:v>
                </c:pt>
                <c:pt idx="6">
                  <c:v>82</c:v>
                </c:pt>
                <c:pt idx="7">
                  <c:v>85</c:v>
                </c:pt>
              </c:numCache>
            </c:numRef>
          </c:val>
          <c:extLst>
            <c:ext xmlns:c16="http://schemas.microsoft.com/office/drawing/2014/chart" uri="{C3380CC4-5D6E-409C-BE32-E72D297353CC}">
              <c16:uniqueId val="{00000000-F198-43E3-894B-FA6E0C9D9FCE}"/>
            </c:ext>
          </c:extLst>
        </c:ser>
        <c:ser>
          <c:idx val="1"/>
          <c:order val="1"/>
          <c:tx>
            <c:strRef>
              <c:f>Pivot_Analysis!$C$2</c:f>
              <c:strCache>
                <c:ptCount val="1"/>
                <c:pt idx="0">
                  <c:v>Sum of Credit Score</c:v>
                </c:pt>
              </c:strCache>
            </c:strRef>
          </c:tx>
          <c:spPr>
            <a:solidFill>
              <a:schemeClr val="accent2"/>
            </a:solidFill>
            <a:ln>
              <a:noFill/>
            </a:ln>
            <a:effectLst/>
            <a:sp3d/>
          </c:spPr>
          <c:invertIfNegative val="0"/>
          <c:cat>
            <c:multiLvlStrRef>
              <c:f>Pivot_Analysis!$A$3:$A$15</c:f>
              <c:multiLvlStrCache>
                <c:ptCount val="8"/>
                <c:lvl>
                  <c:pt idx="0">
                    <c:v>Female</c:v>
                  </c:pt>
                  <c:pt idx="1">
                    <c:v>Male</c:v>
                  </c:pt>
                  <c:pt idx="2">
                    <c:v>Female</c:v>
                  </c:pt>
                  <c:pt idx="3">
                    <c:v>Male</c:v>
                  </c:pt>
                  <c:pt idx="4">
                    <c:v>Female</c:v>
                  </c:pt>
                  <c:pt idx="5">
                    <c:v>Male</c:v>
                  </c:pt>
                  <c:pt idx="6">
                    <c:v>Female</c:v>
                  </c:pt>
                  <c:pt idx="7">
                    <c:v>Male</c:v>
                  </c:pt>
                </c:lvl>
                <c:lvl>
                  <c:pt idx="0">
                    <c:v>Excellent</c:v>
                  </c:pt>
                  <c:pt idx="2">
                    <c:v>Fair</c:v>
                  </c:pt>
                  <c:pt idx="4">
                    <c:v>Good</c:v>
                  </c:pt>
                  <c:pt idx="6">
                    <c:v>Poor</c:v>
                  </c:pt>
                </c:lvl>
              </c:multiLvlStrCache>
            </c:multiLvlStrRef>
          </c:cat>
          <c:val>
            <c:numRef>
              <c:f>Pivot_Analysis!$C$3:$C$15</c:f>
              <c:numCache>
                <c:formatCode>General</c:formatCode>
                <c:ptCount val="8"/>
                <c:pt idx="0">
                  <c:v>58250</c:v>
                </c:pt>
                <c:pt idx="1">
                  <c:v>73155</c:v>
                </c:pt>
                <c:pt idx="2">
                  <c:v>25648</c:v>
                </c:pt>
                <c:pt idx="3">
                  <c:v>26992</c:v>
                </c:pt>
                <c:pt idx="4">
                  <c:v>32423</c:v>
                </c:pt>
                <c:pt idx="5">
                  <c:v>32465</c:v>
                </c:pt>
                <c:pt idx="6">
                  <c:v>48935</c:v>
                </c:pt>
                <c:pt idx="7">
                  <c:v>50773</c:v>
                </c:pt>
              </c:numCache>
            </c:numRef>
          </c:val>
          <c:extLst>
            <c:ext xmlns:c16="http://schemas.microsoft.com/office/drawing/2014/chart" uri="{C3380CC4-5D6E-409C-BE32-E72D297353CC}">
              <c16:uniqueId val="{00000001-F198-43E3-894B-FA6E0C9D9FCE}"/>
            </c:ext>
          </c:extLst>
        </c:ser>
        <c:ser>
          <c:idx val="2"/>
          <c:order val="2"/>
          <c:tx>
            <c:strRef>
              <c:f>Pivot_Analysis!$D$2</c:f>
              <c:strCache>
                <c:ptCount val="1"/>
                <c:pt idx="0">
                  <c:v>Sum of Age</c:v>
                </c:pt>
              </c:strCache>
            </c:strRef>
          </c:tx>
          <c:spPr>
            <a:solidFill>
              <a:schemeClr val="accent3"/>
            </a:solidFill>
            <a:ln>
              <a:noFill/>
            </a:ln>
            <a:effectLst/>
            <a:sp3d/>
          </c:spPr>
          <c:invertIfNegative val="0"/>
          <c:cat>
            <c:multiLvlStrRef>
              <c:f>Pivot_Analysis!$A$3:$A$15</c:f>
              <c:multiLvlStrCache>
                <c:ptCount val="8"/>
                <c:lvl>
                  <c:pt idx="0">
                    <c:v>Female</c:v>
                  </c:pt>
                  <c:pt idx="1">
                    <c:v>Male</c:v>
                  </c:pt>
                  <c:pt idx="2">
                    <c:v>Female</c:v>
                  </c:pt>
                  <c:pt idx="3">
                    <c:v>Male</c:v>
                  </c:pt>
                  <c:pt idx="4">
                    <c:v>Female</c:v>
                  </c:pt>
                  <c:pt idx="5">
                    <c:v>Male</c:v>
                  </c:pt>
                  <c:pt idx="6">
                    <c:v>Female</c:v>
                  </c:pt>
                  <c:pt idx="7">
                    <c:v>Male</c:v>
                  </c:pt>
                </c:lvl>
                <c:lvl>
                  <c:pt idx="0">
                    <c:v>Excellent</c:v>
                  </c:pt>
                  <c:pt idx="2">
                    <c:v>Fair</c:v>
                  </c:pt>
                  <c:pt idx="4">
                    <c:v>Good</c:v>
                  </c:pt>
                  <c:pt idx="6">
                    <c:v>Poor</c:v>
                  </c:pt>
                </c:lvl>
              </c:multiLvlStrCache>
            </c:multiLvlStrRef>
          </c:cat>
          <c:val>
            <c:numRef>
              <c:f>Pivot_Analysis!$D$3:$D$15</c:f>
              <c:numCache>
                <c:formatCode>General</c:formatCode>
                <c:ptCount val="8"/>
                <c:pt idx="0">
                  <c:v>3081</c:v>
                </c:pt>
                <c:pt idx="1">
                  <c:v>4086</c:v>
                </c:pt>
                <c:pt idx="2">
                  <c:v>1530</c:v>
                </c:pt>
                <c:pt idx="3">
                  <c:v>1779</c:v>
                </c:pt>
                <c:pt idx="4">
                  <c:v>1973</c:v>
                </c:pt>
                <c:pt idx="5">
                  <c:v>1856</c:v>
                </c:pt>
                <c:pt idx="6">
                  <c:v>3357</c:v>
                </c:pt>
                <c:pt idx="7">
                  <c:v>3747</c:v>
                </c:pt>
              </c:numCache>
            </c:numRef>
          </c:val>
          <c:extLst>
            <c:ext xmlns:c16="http://schemas.microsoft.com/office/drawing/2014/chart" uri="{C3380CC4-5D6E-409C-BE32-E72D297353CC}">
              <c16:uniqueId val="{00000002-F198-43E3-894B-FA6E0C9D9FCE}"/>
            </c:ext>
          </c:extLst>
        </c:ser>
        <c:dLbls>
          <c:showLegendKey val="0"/>
          <c:showVal val="0"/>
          <c:showCatName val="0"/>
          <c:showSerName val="0"/>
          <c:showPercent val="0"/>
          <c:showBubbleSize val="0"/>
        </c:dLbls>
        <c:gapWidth val="150"/>
        <c:shape val="box"/>
        <c:axId val="605930783"/>
        <c:axId val="605926463"/>
        <c:axId val="324801343"/>
      </c:bar3DChart>
      <c:catAx>
        <c:axId val="605930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926463"/>
        <c:crosses val="autoZero"/>
        <c:auto val="1"/>
        <c:lblAlgn val="ctr"/>
        <c:lblOffset val="100"/>
        <c:noMultiLvlLbl val="0"/>
      </c:catAx>
      <c:valAx>
        <c:axId val="605926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930783"/>
        <c:crosses val="autoZero"/>
        <c:crossBetween val="between"/>
      </c:valAx>
      <c:serAx>
        <c:axId val="32480134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92646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 FInInsight Project.xlsx]Pivot_Analysis!PivotTable3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Portfolio Volume &amp; Default Risk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Pivot_Analysis!$B$20:$B$22</c:f>
              <c:strCache>
                <c:ptCount val="1"/>
                <c:pt idx="0">
                  <c:v>Active - Sum of Loan Amount</c:v>
                </c:pt>
              </c:strCache>
            </c:strRef>
          </c:tx>
          <c:spPr>
            <a:solidFill>
              <a:schemeClr val="accent1"/>
            </a:solidFill>
            <a:ln>
              <a:noFill/>
            </a:ln>
            <a:effectLst/>
            <a:sp3d/>
          </c:spPr>
          <c:invertIfNegative val="0"/>
          <c:cat>
            <c:strRef>
              <c:f>Pivot_Analysis!$A$23:$A$27</c:f>
              <c:strCache>
                <c:ptCount val="4"/>
                <c:pt idx="0">
                  <c:v>Auto Loan</c:v>
                </c:pt>
                <c:pt idx="1">
                  <c:v>Credit Card</c:v>
                </c:pt>
                <c:pt idx="2">
                  <c:v>Mortgage</c:v>
                </c:pt>
                <c:pt idx="3">
                  <c:v>Personal Loan</c:v>
                </c:pt>
              </c:strCache>
            </c:strRef>
          </c:cat>
          <c:val>
            <c:numRef>
              <c:f>Pivot_Analysis!$B$23:$B$27</c:f>
              <c:numCache>
                <c:formatCode>General</c:formatCode>
                <c:ptCount val="4"/>
                <c:pt idx="0">
                  <c:v>6985000</c:v>
                </c:pt>
                <c:pt idx="1">
                  <c:v>5545000</c:v>
                </c:pt>
                <c:pt idx="2">
                  <c:v>4959000</c:v>
                </c:pt>
                <c:pt idx="3">
                  <c:v>4987000</c:v>
                </c:pt>
              </c:numCache>
            </c:numRef>
          </c:val>
          <c:extLst>
            <c:ext xmlns:c16="http://schemas.microsoft.com/office/drawing/2014/chart" uri="{C3380CC4-5D6E-409C-BE32-E72D297353CC}">
              <c16:uniqueId val="{00000000-FF08-485B-AEDA-DCE5CD65367D}"/>
            </c:ext>
          </c:extLst>
        </c:ser>
        <c:ser>
          <c:idx val="1"/>
          <c:order val="1"/>
          <c:tx>
            <c:strRef>
              <c:f>Pivot_Analysis!$C$20:$C$22</c:f>
              <c:strCache>
                <c:ptCount val="1"/>
                <c:pt idx="0">
                  <c:v>Active - Sum of DTI</c:v>
                </c:pt>
              </c:strCache>
            </c:strRef>
          </c:tx>
          <c:spPr>
            <a:solidFill>
              <a:schemeClr val="accent2"/>
            </a:solidFill>
            <a:ln>
              <a:noFill/>
            </a:ln>
            <a:effectLst/>
            <a:sp3d/>
          </c:spPr>
          <c:invertIfNegative val="0"/>
          <c:cat>
            <c:strRef>
              <c:f>Pivot_Analysis!$A$23:$A$27</c:f>
              <c:strCache>
                <c:ptCount val="4"/>
                <c:pt idx="0">
                  <c:v>Auto Loan</c:v>
                </c:pt>
                <c:pt idx="1">
                  <c:v>Credit Card</c:v>
                </c:pt>
                <c:pt idx="2">
                  <c:v>Mortgage</c:v>
                </c:pt>
                <c:pt idx="3">
                  <c:v>Personal Loan</c:v>
                </c:pt>
              </c:strCache>
            </c:strRef>
          </c:cat>
          <c:val>
            <c:numRef>
              <c:f>Pivot_Analysis!$C$23:$C$27</c:f>
              <c:numCache>
                <c:formatCode>General</c:formatCode>
                <c:ptCount val="4"/>
                <c:pt idx="0">
                  <c:v>39.749999999999979</c:v>
                </c:pt>
                <c:pt idx="1">
                  <c:v>35.479999999999997</c:v>
                </c:pt>
                <c:pt idx="2">
                  <c:v>33.580000000000005</c:v>
                </c:pt>
                <c:pt idx="3">
                  <c:v>31.829999999999995</c:v>
                </c:pt>
              </c:numCache>
            </c:numRef>
          </c:val>
          <c:extLst>
            <c:ext xmlns:c16="http://schemas.microsoft.com/office/drawing/2014/chart" uri="{C3380CC4-5D6E-409C-BE32-E72D297353CC}">
              <c16:uniqueId val="{00000001-FF08-485B-AEDA-DCE5CD65367D}"/>
            </c:ext>
          </c:extLst>
        </c:ser>
        <c:ser>
          <c:idx val="2"/>
          <c:order val="2"/>
          <c:tx>
            <c:strRef>
              <c:f>Pivot_Analysis!$D$20:$D$22</c:f>
              <c:strCache>
                <c:ptCount val="1"/>
                <c:pt idx="0">
                  <c:v>Active - Count of Loan ID</c:v>
                </c:pt>
              </c:strCache>
            </c:strRef>
          </c:tx>
          <c:spPr>
            <a:solidFill>
              <a:schemeClr val="accent3"/>
            </a:solidFill>
            <a:ln>
              <a:noFill/>
            </a:ln>
            <a:effectLst/>
            <a:sp3d/>
          </c:spPr>
          <c:invertIfNegative val="0"/>
          <c:cat>
            <c:strRef>
              <c:f>Pivot_Analysis!$A$23:$A$27</c:f>
              <c:strCache>
                <c:ptCount val="4"/>
                <c:pt idx="0">
                  <c:v>Auto Loan</c:v>
                </c:pt>
                <c:pt idx="1">
                  <c:v>Credit Card</c:v>
                </c:pt>
                <c:pt idx="2">
                  <c:v>Mortgage</c:v>
                </c:pt>
                <c:pt idx="3">
                  <c:v>Personal Loan</c:v>
                </c:pt>
              </c:strCache>
            </c:strRef>
          </c:cat>
          <c:val>
            <c:numRef>
              <c:f>Pivot_Analysis!$D$23:$D$27</c:f>
              <c:numCache>
                <c:formatCode>General</c:formatCode>
                <c:ptCount val="4"/>
                <c:pt idx="0">
                  <c:v>113</c:v>
                </c:pt>
                <c:pt idx="1">
                  <c:v>101</c:v>
                </c:pt>
                <c:pt idx="2">
                  <c:v>96</c:v>
                </c:pt>
                <c:pt idx="3">
                  <c:v>93</c:v>
                </c:pt>
              </c:numCache>
            </c:numRef>
          </c:val>
          <c:extLst>
            <c:ext xmlns:c16="http://schemas.microsoft.com/office/drawing/2014/chart" uri="{C3380CC4-5D6E-409C-BE32-E72D297353CC}">
              <c16:uniqueId val="{00000002-FF08-485B-AEDA-DCE5CD65367D}"/>
            </c:ext>
          </c:extLst>
        </c:ser>
        <c:ser>
          <c:idx val="3"/>
          <c:order val="3"/>
          <c:tx>
            <c:strRef>
              <c:f>Pivot_Analysis!$E$20:$E$22</c:f>
              <c:strCache>
                <c:ptCount val="1"/>
                <c:pt idx="0">
                  <c:v>Default - Sum of Loan Amount</c:v>
                </c:pt>
              </c:strCache>
            </c:strRef>
          </c:tx>
          <c:spPr>
            <a:solidFill>
              <a:schemeClr val="accent4"/>
            </a:solidFill>
            <a:ln>
              <a:noFill/>
            </a:ln>
            <a:effectLst/>
            <a:sp3d/>
          </c:spPr>
          <c:invertIfNegative val="0"/>
          <c:cat>
            <c:strRef>
              <c:f>Pivot_Analysis!$A$23:$A$27</c:f>
              <c:strCache>
                <c:ptCount val="4"/>
                <c:pt idx="0">
                  <c:v>Auto Loan</c:v>
                </c:pt>
                <c:pt idx="1">
                  <c:v>Credit Card</c:v>
                </c:pt>
                <c:pt idx="2">
                  <c:v>Mortgage</c:v>
                </c:pt>
                <c:pt idx="3">
                  <c:v>Personal Loan</c:v>
                </c:pt>
              </c:strCache>
            </c:strRef>
          </c:cat>
          <c:val>
            <c:numRef>
              <c:f>Pivot_Analysis!$E$23:$E$27</c:f>
              <c:numCache>
                <c:formatCode>General</c:formatCode>
                <c:ptCount val="4"/>
                <c:pt idx="0">
                  <c:v>1118000</c:v>
                </c:pt>
                <c:pt idx="1">
                  <c:v>1777000</c:v>
                </c:pt>
                <c:pt idx="2">
                  <c:v>1637000</c:v>
                </c:pt>
                <c:pt idx="3">
                  <c:v>950000</c:v>
                </c:pt>
              </c:numCache>
            </c:numRef>
          </c:val>
          <c:extLst>
            <c:ext xmlns:c16="http://schemas.microsoft.com/office/drawing/2014/chart" uri="{C3380CC4-5D6E-409C-BE32-E72D297353CC}">
              <c16:uniqueId val="{0000000A-FF08-485B-AEDA-DCE5CD65367D}"/>
            </c:ext>
          </c:extLst>
        </c:ser>
        <c:ser>
          <c:idx val="4"/>
          <c:order val="4"/>
          <c:tx>
            <c:strRef>
              <c:f>Pivot_Analysis!$F$20:$F$22</c:f>
              <c:strCache>
                <c:ptCount val="1"/>
                <c:pt idx="0">
                  <c:v>Default - Sum of DTI</c:v>
                </c:pt>
              </c:strCache>
            </c:strRef>
          </c:tx>
          <c:spPr>
            <a:solidFill>
              <a:schemeClr val="accent5"/>
            </a:solidFill>
            <a:ln>
              <a:noFill/>
            </a:ln>
            <a:effectLst/>
            <a:sp3d/>
          </c:spPr>
          <c:invertIfNegative val="0"/>
          <c:cat>
            <c:strRef>
              <c:f>Pivot_Analysis!$A$23:$A$27</c:f>
              <c:strCache>
                <c:ptCount val="4"/>
                <c:pt idx="0">
                  <c:v>Auto Loan</c:v>
                </c:pt>
                <c:pt idx="1">
                  <c:v>Credit Card</c:v>
                </c:pt>
                <c:pt idx="2">
                  <c:v>Mortgage</c:v>
                </c:pt>
                <c:pt idx="3">
                  <c:v>Personal Loan</c:v>
                </c:pt>
              </c:strCache>
            </c:strRef>
          </c:cat>
          <c:val>
            <c:numRef>
              <c:f>Pivot_Analysis!$F$23:$F$27</c:f>
              <c:numCache>
                <c:formatCode>General</c:formatCode>
                <c:ptCount val="4"/>
                <c:pt idx="0">
                  <c:v>6.9700000000000015</c:v>
                </c:pt>
                <c:pt idx="1">
                  <c:v>11.730000000000006</c:v>
                </c:pt>
                <c:pt idx="2">
                  <c:v>9.009999999999998</c:v>
                </c:pt>
                <c:pt idx="3">
                  <c:v>6.69</c:v>
                </c:pt>
              </c:numCache>
            </c:numRef>
          </c:val>
          <c:extLst>
            <c:ext xmlns:c16="http://schemas.microsoft.com/office/drawing/2014/chart" uri="{C3380CC4-5D6E-409C-BE32-E72D297353CC}">
              <c16:uniqueId val="{0000000B-FF08-485B-AEDA-DCE5CD65367D}"/>
            </c:ext>
          </c:extLst>
        </c:ser>
        <c:ser>
          <c:idx val="5"/>
          <c:order val="5"/>
          <c:tx>
            <c:strRef>
              <c:f>Pivot_Analysis!$G$20:$G$22</c:f>
              <c:strCache>
                <c:ptCount val="1"/>
                <c:pt idx="0">
                  <c:v>Default - Count of Loan ID</c:v>
                </c:pt>
              </c:strCache>
            </c:strRef>
          </c:tx>
          <c:spPr>
            <a:solidFill>
              <a:schemeClr val="accent6"/>
            </a:solidFill>
            <a:ln>
              <a:noFill/>
            </a:ln>
            <a:effectLst/>
            <a:sp3d/>
          </c:spPr>
          <c:invertIfNegative val="0"/>
          <c:cat>
            <c:strRef>
              <c:f>Pivot_Analysis!$A$23:$A$27</c:f>
              <c:strCache>
                <c:ptCount val="4"/>
                <c:pt idx="0">
                  <c:v>Auto Loan</c:v>
                </c:pt>
                <c:pt idx="1">
                  <c:v>Credit Card</c:v>
                </c:pt>
                <c:pt idx="2">
                  <c:v>Mortgage</c:v>
                </c:pt>
                <c:pt idx="3">
                  <c:v>Personal Loan</c:v>
                </c:pt>
              </c:strCache>
            </c:strRef>
          </c:cat>
          <c:val>
            <c:numRef>
              <c:f>Pivot_Analysis!$G$23:$G$27</c:f>
              <c:numCache>
                <c:formatCode>General</c:formatCode>
                <c:ptCount val="4"/>
                <c:pt idx="0">
                  <c:v>19</c:v>
                </c:pt>
                <c:pt idx="1">
                  <c:v>33</c:v>
                </c:pt>
                <c:pt idx="2">
                  <c:v>27</c:v>
                </c:pt>
                <c:pt idx="3">
                  <c:v>18</c:v>
                </c:pt>
              </c:numCache>
            </c:numRef>
          </c:val>
          <c:extLst>
            <c:ext xmlns:c16="http://schemas.microsoft.com/office/drawing/2014/chart" uri="{C3380CC4-5D6E-409C-BE32-E72D297353CC}">
              <c16:uniqueId val="{0000000C-FF08-485B-AEDA-DCE5CD65367D}"/>
            </c:ext>
          </c:extLst>
        </c:ser>
        <c:dLbls>
          <c:showLegendKey val="0"/>
          <c:showVal val="0"/>
          <c:showCatName val="0"/>
          <c:showSerName val="0"/>
          <c:showPercent val="0"/>
          <c:showBubbleSize val="0"/>
        </c:dLbls>
        <c:gapWidth val="150"/>
        <c:shape val="box"/>
        <c:axId val="701504319"/>
        <c:axId val="701502879"/>
        <c:axId val="0"/>
      </c:bar3DChart>
      <c:catAx>
        <c:axId val="701504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502879"/>
        <c:crosses val="autoZero"/>
        <c:auto val="1"/>
        <c:lblAlgn val="ctr"/>
        <c:lblOffset val="100"/>
        <c:noMultiLvlLbl val="0"/>
      </c:catAx>
      <c:valAx>
        <c:axId val="701502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50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85</xdr:row>
      <xdr:rowOff>99060</xdr:rowOff>
    </xdr:from>
    <xdr:to>
      <xdr:col>7</xdr:col>
      <xdr:colOff>304800</xdr:colOff>
      <xdr:row>100</xdr:row>
      <xdr:rowOff>99060</xdr:rowOff>
    </xdr:to>
    <xdr:graphicFrame macro="">
      <xdr:nvGraphicFramePr>
        <xdr:cNvPr id="4" name="Chart 3">
          <a:extLst>
            <a:ext uri="{FF2B5EF4-FFF2-40B4-BE49-F238E27FC236}">
              <a16:creationId xmlns:a16="http://schemas.microsoft.com/office/drawing/2014/main" id="{1C82D329-5368-490A-8F13-14D10D02F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67</xdr:row>
      <xdr:rowOff>167640</xdr:rowOff>
    </xdr:from>
    <xdr:to>
      <xdr:col>7</xdr:col>
      <xdr:colOff>350520</xdr:colOff>
      <xdr:row>82</xdr:row>
      <xdr:rowOff>167640</xdr:rowOff>
    </xdr:to>
    <xdr:graphicFrame macro="">
      <xdr:nvGraphicFramePr>
        <xdr:cNvPr id="5" name="Chart 4">
          <a:extLst>
            <a:ext uri="{FF2B5EF4-FFF2-40B4-BE49-F238E27FC236}">
              <a16:creationId xmlns:a16="http://schemas.microsoft.com/office/drawing/2014/main" id="{03BD80E2-24B5-449D-9114-1E8E7B58E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0</xdr:rowOff>
    </xdr:from>
    <xdr:to>
      <xdr:col>13</xdr:col>
      <xdr:colOff>350520</xdr:colOff>
      <xdr:row>35</xdr:row>
      <xdr:rowOff>22860</xdr:rowOff>
    </xdr:to>
    <xdr:graphicFrame macro="">
      <xdr:nvGraphicFramePr>
        <xdr:cNvPr id="17" name="Chart 16">
          <a:extLst>
            <a:ext uri="{FF2B5EF4-FFF2-40B4-BE49-F238E27FC236}">
              <a16:creationId xmlns:a16="http://schemas.microsoft.com/office/drawing/2014/main" id="{79B78652-EF70-411E-ADE8-8F73DE5FE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37</xdr:row>
      <xdr:rowOff>60960</xdr:rowOff>
    </xdr:from>
    <xdr:to>
      <xdr:col>3</xdr:col>
      <xdr:colOff>0</xdr:colOff>
      <xdr:row>49</xdr:row>
      <xdr:rowOff>104775</xdr:rowOff>
    </xdr:to>
    <mc:AlternateContent xmlns:mc="http://schemas.openxmlformats.org/markup-compatibility/2006" xmlns:a14="http://schemas.microsoft.com/office/drawing/2010/main">
      <mc:Choice Requires="a14">
        <xdr:graphicFrame macro="">
          <xdr:nvGraphicFramePr>
            <xdr:cNvPr id="18" name="Age">
              <a:extLst>
                <a:ext uri="{FF2B5EF4-FFF2-40B4-BE49-F238E27FC236}">
                  <a16:creationId xmlns:a16="http://schemas.microsoft.com/office/drawing/2014/main" id="{31257E49-2361-4392-8D5F-06C01576873B}"/>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0" y="685038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36</xdr:row>
      <xdr:rowOff>175260</xdr:rowOff>
    </xdr:from>
    <xdr:to>
      <xdr:col>7</xdr:col>
      <xdr:colOff>0</xdr:colOff>
      <xdr:row>49</xdr:row>
      <xdr:rowOff>36195</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58FE78AD-DAF6-4BFF-B91F-997AE669F21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38400" y="678180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37</xdr:row>
      <xdr:rowOff>0</xdr:rowOff>
    </xdr:from>
    <xdr:to>
      <xdr:col>11</xdr:col>
      <xdr:colOff>0</xdr:colOff>
      <xdr:row>49</xdr:row>
      <xdr:rowOff>43815</xdr:rowOff>
    </xdr:to>
    <mc:AlternateContent xmlns:mc="http://schemas.openxmlformats.org/markup-compatibility/2006" xmlns:a14="http://schemas.microsoft.com/office/drawing/2010/main">
      <mc:Choice Requires="a14">
        <xdr:graphicFrame macro="">
          <xdr:nvGraphicFramePr>
            <xdr:cNvPr id="20" name="Credit Score">
              <a:extLst>
                <a:ext uri="{FF2B5EF4-FFF2-40B4-BE49-F238E27FC236}">
                  <a16:creationId xmlns:a16="http://schemas.microsoft.com/office/drawing/2014/main" id="{21BD3999-B146-4D02-B4E2-47D1F469F9CB}"/>
                </a:ext>
              </a:extLst>
            </xdr:cNvPr>
            <xdr:cNvGraphicFramePr/>
          </xdr:nvGraphicFramePr>
          <xdr:xfrm>
            <a:off x="0" y="0"/>
            <a:ext cx="0" cy="0"/>
          </xdr:xfrm>
          <a:graphic>
            <a:graphicData uri="http://schemas.microsoft.com/office/drawing/2010/slicer">
              <sle:slicer xmlns:sle="http://schemas.microsoft.com/office/drawing/2010/slicer" name="Credit Score"/>
            </a:graphicData>
          </a:graphic>
        </xdr:graphicFrame>
      </mc:Choice>
      <mc:Fallback xmlns="">
        <xdr:sp macro="" textlink="">
          <xdr:nvSpPr>
            <xdr:cNvPr id="0" name=""/>
            <xdr:cNvSpPr>
              <a:spLocks noTextEdit="1"/>
            </xdr:cNvSpPr>
          </xdr:nvSpPr>
          <xdr:spPr>
            <a:xfrm>
              <a:off x="4876800" y="678942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601980</xdr:colOff>
      <xdr:row>37</xdr:row>
      <xdr:rowOff>45720</xdr:rowOff>
    </xdr:from>
    <xdr:to>
      <xdr:col>14</xdr:col>
      <xdr:colOff>601980</xdr:colOff>
      <xdr:row>49</xdr:row>
      <xdr:rowOff>89535</xdr:rowOff>
    </xdr:to>
    <mc:AlternateContent xmlns:mc="http://schemas.openxmlformats.org/markup-compatibility/2006" xmlns:a14="http://schemas.microsoft.com/office/drawing/2010/main">
      <mc:Choice Requires="a14">
        <xdr:graphicFrame macro="">
          <xdr:nvGraphicFramePr>
            <xdr:cNvPr id="21" name="Customer_ID">
              <a:extLst>
                <a:ext uri="{FF2B5EF4-FFF2-40B4-BE49-F238E27FC236}">
                  <a16:creationId xmlns:a16="http://schemas.microsoft.com/office/drawing/2014/main" id="{A2348412-6CEB-4826-88CB-5F859DB034C7}"/>
                </a:ext>
              </a:extLst>
            </xdr:cNvPr>
            <xdr:cNvGraphicFramePr/>
          </xdr:nvGraphicFramePr>
          <xdr:xfrm>
            <a:off x="0" y="0"/>
            <a:ext cx="0" cy="0"/>
          </xdr:xfrm>
          <a:graphic>
            <a:graphicData uri="http://schemas.microsoft.com/office/drawing/2010/slicer">
              <sle:slicer xmlns:sle="http://schemas.microsoft.com/office/drawing/2010/slicer" name="Customer_ID"/>
            </a:graphicData>
          </a:graphic>
        </xdr:graphicFrame>
      </mc:Choice>
      <mc:Fallback xmlns="">
        <xdr:sp macro="" textlink="">
          <xdr:nvSpPr>
            <xdr:cNvPr id="0" name=""/>
            <xdr:cNvSpPr>
              <a:spLocks noTextEdit="1"/>
            </xdr:cNvSpPr>
          </xdr:nvSpPr>
          <xdr:spPr>
            <a:xfrm>
              <a:off x="7307580" y="683514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274320</xdr:colOff>
      <xdr:row>37</xdr:row>
      <xdr:rowOff>0</xdr:rowOff>
    </xdr:from>
    <xdr:to>
      <xdr:col>19</xdr:col>
      <xdr:colOff>274320</xdr:colOff>
      <xdr:row>49</xdr:row>
      <xdr:rowOff>43815</xdr:rowOff>
    </xdr:to>
    <mc:AlternateContent xmlns:mc="http://schemas.openxmlformats.org/markup-compatibility/2006" xmlns:a14="http://schemas.microsoft.com/office/drawing/2010/main">
      <mc:Choice Requires="a14">
        <xdr:graphicFrame macro="">
          <xdr:nvGraphicFramePr>
            <xdr:cNvPr id="22" name="Credit Category">
              <a:extLst>
                <a:ext uri="{FF2B5EF4-FFF2-40B4-BE49-F238E27FC236}">
                  <a16:creationId xmlns:a16="http://schemas.microsoft.com/office/drawing/2014/main" id="{EB177C43-A37F-4F7E-89F2-65D05B6FAE62}"/>
                </a:ext>
              </a:extLst>
            </xdr:cNvPr>
            <xdr:cNvGraphicFramePr/>
          </xdr:nvGraphicFramePr>
          <xdr:xfrm>
            <a:off x="0" y="0"/>
            <a:ext cx="0" cy="0"/>
          </xdr:xfrm>
          <a:graphic>
            <a:graphicData uri="http://schemas.microsoft.com/office/drawing/2010/slicer">
              <sle:slicer xmlns:sle="http://schemas.microsoft.com/office/drawing/2010/slicer" name="Credit Category"/>
            </a:graphicData>
          </a:graphic>
        </xdr:graphicFrame>
      </mc:Choice>
      <mc:Fallback xmlns="">
        <xdr:sp macro="" textlink="">
          <xdr:nvSpPr>
            <xdr:cNvPr id="0" name=""/>
            <xdr:cNvSpPr>
              <a:spLocks noTextEdit="1"/>
            </xdr:cNvSpPr>
          </xdr:nvSpPr>
          <xdr:spPr>
            <a:xfrm>
              <a:off x="10027920" y="678942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51</xdr:row>
      <xdr:rowOff>167640</xdr:rowOff>
    </xdr:from>
    <xdr:to>
      <xdr:col>7</xdr:col>
      <xdr:colOff>304800</xdr:colOff>
      <xdr:row>66</xdr:row>
      <xdr:rowOff>167640</xdr:rowOff>
    </xdr:to>
    <xdr:graphicFrame macro="">
      <xdr:nvGraphicFramePr>
        <xdr:cNvPr id="23" name="Chart 22">
          <a:extLst>
            <a:ext uri="{FF2B5EF4-FFF2-40B4-BE49-F238E27FC236}">
              <a16:creationId xmlns:a16="http://schemas.microsoft.com/office/drawing/2014/main" id="{1ED1DFF7-F0B9-483B-B8CD-6CBCA984F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419100</xdr:colOff>
      <xdr:row>51</xdr:row>
      <xdr:rowOff>53340</xdr:rowOff>
    </xdr:from>
    <xdr:to>
      <xdr:col>11</xdr:col>
      <xdr:colOff>419100</xdr:colOff>
      <xdr:row>63</xdr:row>
      <xdr:rowOff>97155</xdr:rowOff>
    </xdr:to>
    <mc:AlternateContent xmlns:mc="http://schemas.openxmlformats.org/markup-compatibility/2006" xmlns:a14="http://schemas.microsoft.com/office/drawing/2010/main">
      <mc:Choice Requires="a14">
        <xdr:graphicFrame macro="">
          <xdr:nvGraphicFramePr>
            <xdr:cNvPr id="24" name="Customer ID">
              <a:extLst>
                <a:ext uri="{FF2B5EF4-FFF2-40B4-BE49-F238E27FC236}">
                  <a16:creationId xmlns:a16="http://schemas.microsoft.com/office/drawing/2014/main" id="{9EBCF56E-AB87-03AB-EB90-FFAF64041BBC}"/>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mlns="">
        <xdr:sp macro="" textlink="">
          <xdr:nvSpPr>
            <xdr:cNvPr id="0" name=""/>
            <xdr:cNvSpPr>
              <a:spLocks noTextEdit="1"/>
            </xdr:cNvSpPr>
          </xdr:nvSpPr>
          <xdr:spPr>
            <a:xfrm>
              <a:off x="5295900" y="940308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556260</xdr:colOff>
      <xdr:row>51</xdr:row>
      <xdr:rowOff>15240</xdr:rowOff>
    </xdr:from>
    <xdr:to>
      <xdr:col>14</xdr:col>
      <xdr:colOff>556260</xdr:colOff>
      <xdr:row>63</xdr:row>
      <xdr:rowOff>59055</xdr:rowOff>
    </xdr:to>
    <mc:AlternateContent xmlns:mc="http://schemas.openxmlformats.org/markup-compatibility/2006" xmlns:a14="http://schemas.microsoft.com/office/drawing/2010/main">
      <mc:Choice Requires="a14">
        <xdr:graphicFrame macro="">
          <xdr:nvGraphicFramePr>
            <xdr:cNvPr id="25" name="Loan Amount">
              <a:extLst>
                <a:ext uri="{FF2B5EF4-FFF2-40B4-BE49-F238E27FC236}">
                  <a16:creationId xmlns:a16="http://schemas.microsoft.com/office/drawing/2014/main" id="{49FEAF2E-CA9C-56B2-A048-B471DC739183}"/>
                </a:ext>
              </a:extLst>
            </xdr:cNvPr>
            <xdr:cNvGraphicFramePr/>
          </xdr:nvGraphicFramePr>
          <xdr:xfrm>
            <a:off x="0" y="0"/>
            <a:ext cx="0" cy="0"/>
          </xdr:xfrm>
          <a:graphic>
            <a:graphicData uri="http://schemas.microsoft.com/office/drawing/2010/slicer">
              <sle:slicer xmlns:sle="http://schemas.microsoft.com/office/drawing/2010/slicer" name="Loan Amount"/>
            </a:graphicData>
          </a:graphic>
        </xdr:graphicFrame>
      </mc:Choice>
      <mc:Fallback xmlns="">
        <xdr:sp macro="" textlink="">
          <xdr:nvSpPr>
            <xdr:cNvPr id="0" name=""/>
            <xdr:cNvSpPr>
              <a:spLocks noTextEdit="1"/>
            </xdr:cNvSpPr>
          </xdr:nvSpPr>
          <xdr:spPr>
            <a:xfrm>
              <a:off x="7261860" y="936498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541020</xdr:colOff>
      <xdr:row>51</xdr:row>
      <xdr:rowOff>0</xdr:rowOff>
    </xdr:from>
    <xdr:to>
      <xdr:col>21</xdr:col>
      <xdr:colOff>541020</xdr:colOff>
      <xdr:row>63</xdr:row>
      <xdr:rowOff>43815</xdr:rowOff>
    </xdr:to>
    <mc:AlternateContent xmlns:mc="http://schemas.openxmlformats.org/markup-compatibility/2006" xmlns:a14="http://schemas.microsoft.com/office/drawing/2010/main">
      <mc:Choice Requires="a14">
        <xdr:graphicFrame macro="">
          <xdr:nvGraphicFramePr>
            <xdr:cNvPr id="26" name="Loan ID">
              <a:extLst>
                <a:ext uri="{FF2B5EF4-FFF2-40B4-BE49-F238E27FC236}">
                  <a16:creationId xmlns:a16="http://schemas.microsoft.com/office/drawing/2014/main" id="{7CAA79E5-70B2-002C-4C3C-CD25B9B4DAB8}"/>
                </a:ext>
              </a:extLst>
            </xdr:cNvPr>
            <xdr:cNvGraphicFramePr/>
          </xdr:nvGraphicFramePr>
          <xdr:xfrm>
            <a:off x="0" y="0"/>
            <a:ext cx="0" cy="0"/>
          </xdr:xfrm>
          <a:graphic>
            <a:graphicData uri="http://schemas.microsoft.com/office/drawing/2010/slicer">
              <sle:slicer xmlns:sle="http://schemas.microsoft.com/office/drawing/2010/slicer" name="Loan ID"/>
            </a:graphicData>
          </a:graphic>
        </xdr:graphicFrame>
      </mc:Choice>
      <mc:Fallback xmlns="">
        <xdr:sp macro="" textlink="">
          <xdr:nvSpPr>
            <xdr:cNvPr id="0" name=""/>
            <xdr:cNvSpPr>
              <a:spLocks noTextEdit="1"/>
            </xdr:cNvSpPr>
          </xdr:nvSpPr>
          <xdr:spPr>
            <a:xfrm>
              <a:off x="11513820" y="934974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228600</xdr:colOff>
      <xdr:row>50</xdr:row>
      <xdr:rowOff>121920</xdr:rowOff>
    </xdr:from>
    <xdr:to>
      <xdr:col>25</xdr:col>
      <xdr:colOff>228600</xdr:colOff>
      <xdr:row>62</xdr:row>
      <xdr:rowOff>165735</xdr:rowOff>
    </xdr:to>
    <mc:AlternateContent xmlns:mc="http://schemas.openxmlformats.org/markup-compatibility/2006" xmlns:a14="http://schemas.microsoft.com/office/drawing/2010/main">
      <mc:Choice Requires="a14">
        <xdr:graphicFrame macro="">
          <xdr:nvGraphicFramePr>
            <xdr:cNvPr id="27" name="Loan Product">
              <a:extLst>
                <a:ext uri="{FF2B5EF4-FFF2-40B4-BE49-F238E27FC236}">
                  <a16:creationId xmlns:a16="http://schemas.microsoft.com/office/drawing/2014/main" id="{52DCD234-52D4-0709-CCF8-C4D457B66757}"/>
                </a:ext>
              </a:extLst>
            </xdr:cNvPr>
            <xdr:cNvGraphicFramePr/>
          </xdr:nvGraphicFramePr>
          <xdr:xfrm>
            <a:off x="0" y="0"/>
            <a:ext cx="0" cy="0"/>
          </xdr:xfrm>
          <a:graphic>
            <a:graphicData uri="http://schemas.microsoft.com/office/drawing/2010/slicer">
              <sle:slicer xmlns:sle="http://schemas.microsoft.com/office/drawing/2010/slicer" name="Loan Product"/>
            </a:graphicData>
          </a:graphic>
        </xdr:graphicFrame>
      </mc:Choice>
      <mc:Fallback xmlns="">
        <xdr:sp macro="" textlink="">
          <xdr:nvSpPr>
            <xdr:cNvPr id="0" name=""/>
            <xdr:cNvSpPr>
              <a:spLocks noTextEdit="1"/>
            </xdr:cNvSpPr>
          </xdr:nvSpPr>
          <xdr:spPr>
            <a:xfrm>
              <a:off x="13639800" y="928878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182880</xdr:colOff>
      <xdr:row>50</xdr:row>
      <xdr:rowOff>152400</xdr:rowOff>
    </xdr:from>
    <xdr:to>
      <xdr:col>18</xdr:col>
      <xdr:colOff>182880</xdr:colOff>
      <xdr:row>63</xdr:row>
      <xdr:rowOff>13335</xdr:rowOff>
    </xdr:to>
    <mc:AlternateContent xmlns:mc="http://schemas.openxmlformats.org/markup-compatibility/2006" xmlns:a14="http://schemas.microsoft.com/office/drawing/2010/main">
      <mc:Choice Requires="a14">
        <xdr:graphicFrame macro="">
          <xdr:nvGraphicFramePr>
            <xdr:cNvPr id="28" name="DTI">
              <a:extLst>
                <a:ext uri="{FF2B5EF4-FFF2-40B4-BE49-F238E27FC236}">
                  <a16:creationId xmlns:a16="http://schemas.microsoft.com/office/drawing/2014/main" id="{73F19284-779B-B4D5-A5B2-52A58CE04132}"/>
                </a:ext>
              </a:extLst>
            </xdr:cNvPr>
            <xdr:cNvGraphicFramePr/>
          </xdr:nvGraphicFramePr>
          <xdr:xfrm>
            <a:off x="0" y="0"/>
            <a:ext cx="0" cy="0"/>
          </xdr:xfrm>
          <a:graphic>
            <a:graphicData uri="http://schemas.microsoft.com/office/drawing/2010/slicer">
              <sle:slicer xmlns:sle="http://schemas.microsoft.com/office/drawing/2010/slicer" name="DTI"/>
            </a:graphicData>
          </a:graphic>
        </xdr:graphicFrame>
      </mc:Choice>
      <mc:Fallback xmlns="">
        <xdr:sp macro="" textlink="">
          <xdr:nvSpPr>
            <xdr:cNvPr id="0" name=""/>
            <xdr:cNvSpPr>
              <a:spLocks noTextEdit="1"/>
            </xdr:cNvSpPr>
          </xdr:nvSpPr>
          <xdr:spPr>
            <a:xfrm>
              <a:off x="9326880" y="931926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579120</xdr:colOff>
      <xdr:row>68</xdr:row>
      <xdr:rowOff>30480</xdr:rowOff>
    </xdr:from>
    <xdr:to>
      <xdr:col>10</xdr:col>
      <xdr:colOff>579120</xdr:colOff>
      <xdr:row>80</xdr:row>
      <xdr:rowOff>74295</xdr:rowOff>
    </xdr:to>
    <mc:AlternateContent xmlns:mc="http://schemas.openxmlformats.org/markup-compatibility/2006" xmlns:a14="http://schemas.microsoft.com/office/drawing/2010/main">
      <mc:Choice Requires="a14">
        <xdr:graphicFrame macro="">
          <xdr:nvGraphicFramePr>
            <xdr:cNvPr id="29" name="Branch ID">
              <a:extLst>
                <a:ext uri="{FF2B5EF4-FFF2-40B4-BE49-F238E27FC236}">
                  <a16:creationId xmlns:a16="http://schemas.microsoft.com/office/drawing/2014/main" id="{1006703C-5C5E-293A-31A1-11D23F7E84C7}"/>
                </a:ext>
              </a:extLst>
            </xdr:cNvPr>
            <xdr:cNvGraphicFramePr/>
          </xdr:nvGraphicFramePr>
          <xdr:xfrm>
            <a:off x="0" y="0"/>
            <a:ext cx="0" cy="0"/>
          </xdr:xfrm>
          <a:graphic>
            <a:graphicData uri="http://schemas.microsoft.com/office/drawing/2010/slicer">
              <sle:slicer xmlns:sle="http://schemas.microsoft.com/office/drawing/2010/slicer" name="Branch ID"/>
            </a:graphicData>
          </a:graphic>
        </xdr:graphicFrame>
      </mc:Choice>
      <mc:Fallback xmlns="">
        <xdr:sp macro="" textlink="">
          <xdr:nvSpPr>
            <xdr:cNvPr id="0" name=""/>
            <xdr:cNvSpPr>
              <a:spLocks noTextEdit="1"/>
            </xdr:cNvSpPr>
          </xdr:nvSpPr>
          <xdr:spPr>
            <a:xfrm>
              <a:off x="4846320" y="1248918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510540</xdr:colOff>
      <xdr:row>67</xdr:row>
      <xdr:rowOff>60960</xdr:rowOff>
    </xdr:from>
    <xdr:to>
      <xdr:col>17</xdr:col>
      <xdr:colOff>510540</xdr:colOff>
      <xdr:row>79</xdr:row>
      <xdr:rowOff>104775</xdr:rowOff>
    </xdr:to>
    <mc:AlternateContent xmlns:mc="http://schemas.openxmlformats.org/markup-compatibility/2006" xmlns:a14="http://schemas.microsoft.com/office/drawing/2010/main">
      <mc:Choice Requires="a14">
        <xdr:graphicFrame macro="">
          <xdr:nvGraphicFramePr>
            <xdr:cNvPr id="30" name="Region">
              <a:extLst>
                <a:ext uri="{FF2B5EF4-FFF2-40B4-BE49-F238E27FC236}">
                  <a16:creationId xmlns:a16="http://schemas.microsoft.com/office/drawing/2014/main" id="{F3E5C106-BCD7-0078-6D2F-6A174CF656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44940" y="1233678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83820</xdr:colOff>
      <xdr:row>67</xdr:row>
      <xdr:rowOff>91440</xdr:rowOff>
    </xdr:from>
    <xdr:to>
      <xdr:col>14</xdr:col>
      <xdr:colOff>83820</xdr:colOff>
      <xdr:row>79</xdr:row>
      <xdr:rowOff>135255</xdr:rowOff>
    </xdr:to>
    <mc:AlternateContent xmlns:mc="http://schemas.openxmlformats.org/markup-compatibility/2006" xmlns:a14="http://schemas.microsoft.com/office/drawing/2010/main">
      <mc:Choice Requires="a14">
        <xdr:graphicFrame macro="">
          <xdr:nvGraphicFramePr>
            <xdr:cNvPr id="31" name="Target Deposit Goal">
              <a:extLst>
                <a:ext uri="{FF2B5EF4-FFF2-40B4-BE49-F238E27FC236}">
                  <a16:creationId xmlns:a16="http://schemas.microsoft.com/office/drawing/2014/main" id="{E18FAA3D-5A3F-79C0-13DC-BD142A8AE150}"/>
                </a:ext>
              </a:extLst>
            </xdr:cNvPr>
            <xdr:cNvGraphicFramePr/>
          </xdr:nvGraphicFramePr>
          <xdr:xfrm>
            <a:off x="0" y="0"/>
            <a:ext cx="0" cy="0"/>
          </xdr:xfrm>
          <a:graphic>
            <a:graphicData uri="http://schemas.microsoft.com/office/drawing/2010/slicer">
              <sle:slicer xmlns:sle="http://schemas.microsoft.com/office/drawing/2010/slicer" name="Target Deposit Goal"/>
            </a:graphicData>
          </a:graphic>
        </xdr:graphicFrame>
      </mc:Choice>
      <mc:Fallback xmlns="">
        <xdr:sp macro="" textlink="">
          <xdr:nvSpPr>
            <xdr:cNvPr id="0" name=""/>
            <xdr:cNvSpPr>
              <a:spLocks noTextEdit="1"/>
            </xdr:cNvSpPr>
          </xdr:nvSpPr>
          <xdr:spPr>
            <a:xfrm>
              <a:off x="6789420" y="1236726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548640</xdr:colOff>
      <xdr:row>85</xdr:row>
      <xdr:rowOff>160020</xdr:rowOff>
    </xdr:from>
    <xdr:to>
      <xdr:col>10</xdr:col>
      <xdr:colOff>548640</xdr:colOff>
      <xdr:row>98</xdr:row>
      <xdr:rowOff>20955</xdr:rowOff>
    </xdr:to>
    <mc:AlternateContent xmlns:mc="http://schemas.openxmlformats.org/markup-compatibility/2006" xmlns:a14="http://schemas.microsoft.com/office/drawing/2010/main">
      <mc:Choice Requires="a14">
        <xdr:graphicFrame macro="">
          <xdr:nvGraphicFramePr>
            <xdr:cNvPr id="32" name="Transaction ID">
              <a:extLst>
                <a:ext uri="{FF2B5EF4-FFF2-40B4-BE49-F238E27FC236}">
                  <a16:creationId xmlns:a16="http://schemas.microsoft.com/office/drawing/2014/main" id="{595F99CB-DCDF-17D5-29C9-72A085CA9EE4}"/>
                </a:ext>
              </a:extLst>
            </xdr:cNvPr>
            <xdr:cNvGraphicFramePr/>
          </xdr:nvGraphicFramePr>
          <xdr:xfrm>
            <a:off x="0" y="0"/>
            <a:ext cx="0" cy="0"/>
          </xdr:xfrm>
          <a:graphic>
            <a:graphicData uri="http://schemas.microsoft.com/office/drawing/2010/slicer">
              <sle:slicer xmlns:sle="http://schemas.microsoft.com/office/drawing/2010/slicer" name="Transaction ID"/>
            </a:graphicData>
          </a:graphic>
        </xdr:graphicFrame>
      </mc:Choice>
      <mc:Fallback xmlns="">
        <xdr:sp macro="" textlink="">
          <xdr:nvSpPr>
            <xdr:cNvPr id="0" name=""/>
            <xdr:cNvSpPr>
              <a:spLocks noTextEdit="1"/>
            </xdr:cNvSpPr>
          </xdr:nvSpPr>
          <xdr:spPr>
            <a:xfrm>
              <a:off x="4815840" y="1572768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548640</xdr:colOff>
      <xdr:row>87</xdr:row>
      <xdr:rowOff>38100</xdr:rowOff>
    </xdr:from>
    <xdr:to>
      <xdr:col>13</xdr:col>
      <xdr:colOff>548640</xdr:colOff>
      <xdr:row>99</xdr:row>
      <xdr:rowOff>81915</xdr:rowOff>
    </xdr:to>
    <mc:AlternateContent xmlns:mc="http://schemas.openxmlformats.org/markup-compatibility/2006" xmlns:a14="http://schemas.microsoft.com/office/drawing/2010/main">
      <mc:Choice Requires="a14">
        <xdr:graphicFrame macro="">
          <xdr:nvGraphicFramePr>
            <xdr:cNvPr id="33" name="Transaction Type">
              <a:extLst>
                <a:ext uri="{FF2B5EF4-FFF2-40B4-BE49-F238E27FC236}">
                  <a16:creationId xmlns:a16="http://schemas.microsoft.com/office/drawing/2014/main" id="{09F7BCC4-D232-4603-5407-84BBD7217CF4}"/>
                </a:ext>
              </a:extLst>
            </xdr:cNvPr>
            <xdr:cNvGraphicFramePr/>
          </xdr:nvGraphicFramePr>
          <xdr:xfrm>
            <a:off x="0" y="0"/>
            <a:ext cx="0" cy="0"/>
          </xdr:xfrm>
          <a:graphic>
            <a:graphicData uri="http://schemas.microsoft.com/office/drawing/2010/slicer">
              <sle:slicer xmlns:sle="http://schemas.microsoft.com/office/drawing/2010/slicer" name="Transaction Type"/>
            </a:graphicData>
          </a:graphic>
        </xdr:graphicFrame>
      </mc:Choice>
      <mc:Fallback xmlns="">
        <xdr:sp macro="" textlink="">
          <xdr:nvSpPr>
            <xdr:cNvPr id="0" name=""/>
            <xdr:cNvSpPr>
              <a:spLocks noTextEdit="1"/>
            </xdr:cNvSpPr>
          </xdr:nvSpPr>
          <xdr:spPr>
            <a:xfrm>
              <a:off x="6644640" y="1597152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198120</xdr:colOff>
      <xdr:row>86</xdr:row>
      <xdr:rowOff>129540</xdr:rowOff>
    </xdr:from>
    <xdr:to>
      <xdr:col>17</xdr:col>
      <xdr:colOff>198120</xdr:colOff>
      <xdr:row>98</xdr:row>
      <xdr:rowOff>173355</xdr:rowOff>
    </xdr:to>
    <mc:AlternateContent xmlns:mc="http://schemas.openxmlformats.org/markup-compatibility/2006" xmlns:a14="http://schemas.microsoft.com/office/drawing/2010/main">
      <mc:Choice Requires="a14">
        <xdr:graphicFrame macro="">
          <xdr:nvGraphicFramePr>
            <xdr:cNvPr id="34" name="Amount">
              <a:extLst>
                <a:ext uri="{FF2B5EF4-FFF2-40B4-BE49-F238E27FC236}">
                  <a16:creationId xmlns:a16="http://schemas.microsoft.com/office/drawing/2014/main" id="{1579FDCE-916D-DAD5-CDCD-1B717D266000}"/>
                </a:ext>
              </a:extLst>
            </xdr:cNvPr>
            <xdr:cNvGraphicFramePr/>
          </xdr:nvGraphicFramePr>
          <xdr:xfrm>
            <a:off x="0" y="0"/>
            <a:ext cx="0" cy="0"/>
          </xdr:xfrm>
          <a:graphic>
            <a:graphicData uri="http://schemas.microsoft.com/office/drawing/2010/slicer">
              <sle:slicer xmlns:sle="http://schemas.microsoft.com/office/drawing/2010/slicer" name="Amount"/>
            </a:graphicData>
          </a:graphic>
        </xdr:graphicFrame>
      </mc:Choice>
      <mc:Fallback xmlns="">
        <xdr:sp macro="" textlink="">
          <xdr:nvSpPr>
            <xdr:cNvPr id="0" name=""/>
            <xdr:cNvSpPr>
              <a:spLocks noTextEdit="1"/>
            </xdr:cNvSpPr>
          </xdr:nvSpPr>
          <xdr:spPr>
            <a:xfrm>
              <a:off x="8732520" y="1588008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vani" refreshedDate="46275.920056597221" createdVersion="8" refreshedVersion="8" minRefreshableVersion="3" recordCount="500" xr:uid="{701D07C7-D847-4216-B442-7D4B3F357669}">
  <cacheSource type="worksheet">
    <worksheetSource name="Table1"/>
  </cacheSource>
  <cacheFields count="7">
    <cacheField name="Customer_ID" numFmtId="0">
      <sharedItems count="500">
        <s v="C101"/>
        <s v="C102"/>
        <s v="C103"/>
        <s v="C104"/>
        <s v="C105"/>
        <s v="C106"/>
        <s v="C107"/>
        <s v="C108"/>
        <s v="C109"/>
        <s v="C110"/>
        <s v="C111"/>
        <s v="C112"/>
        <s v="C113"/>
        <s v="C114"/>
        <s v="C115"/>
        <s v="C116"/>
        <s v="C117"/>
        <s v="C118"/>
        <s v="C119"/>
        <s v="C120"/>
        <s v="C121"/>
        <s v="C122"/>
        <s v="C123"/>
        <s v="C124"/>
        <s v="C125"/>
        <s v="C126"/>
        <s v="C127"/>
        <s v="C128"/>
        <s v="C129"/>
        <s v="C130"/>
        <s v="C131"/>
        <s v="C132"/>
        <s v="C133"/>
        <s v="C134"/>
        <s v="C135"/>
        <s v="C136"/>
        <s v="C137"/>
        <s v="C138"/>
        <s v="C139"/>
        <s v="C140"/>
        <s v="C141"/>
        <s v="C142"/>
        <s v="C143"/>
        <s v="C144"/>
        <s v="C145"/>
        <s v="C146"/>
        <s v="C147"/>
        <s v="C148"/>
        <s v="C149"/>
        <s v="C150"/>
        <s v="C151"/>
        <s v="C152"/>
        <s v="C153"/>
        <s v="C154"/>
        <s v="C155"/>
        <s v="C156"/>
        <s v="C157"/>
        <s v="C158"/>
        <s v="C159"/>
        <s v="C160"/>
        <s v="C161"/>
        <s v="C162"/>
        <s v="C163"/>
        <s v="C164"/>
        <s v="C165"/>
        <s v="C166"/>
        <s v="C167"/>
        <s v="C168"/>
        <s v="C169"/>
        <s v="C170"/>
        <s v="C171"/>
        <s v="C172"/>
        <s v="C173"/>
        <s v="C174"/>
        <s v="C175"/>
        <s v="C176"/>
        <s v="C177"/>
        <s v="C178"/>
        <s v="C179"/>
        <s v="C180"/>
        <s v="C181"/>
        <s v="C182"/>
        <s v="C183"/>
        <s v="C184"/>
        <s v="C185"/>
        <s v="C186"/>
        <s v="C187"/>
        <s v="C188"/>
        <s v="C189"/>
        <s v="C190"/>
        <s v="C191"/>
        <s v="C192"/>
        <s v="C193"/>
        <s v="C194"/>
        <s v="C195"/>
        <s v="C196"/>
        <s v="C197"/>
        <s v="C198"/>
        <s v="C199"/>
        <s v="C200"/>
        <s v="C201"/>
        <s v="C202"/>
        <s v="C203"/>
        <s v="C204"/>
        <s v="C205"/>
        <s v="C206"/>
        <s v="C207"/>
        <s v="C208"/>
        <s v="C209"/>
        <s v="C210"/>
        <s v="C211"/>
        <s v="C212"/>
        <s v="C213"/>
        <s v="C214"/>
        <s v="C215"/>
        <s v="C216"/>
        <s v="C217"/>
        <s v="C218"/>
        <s v="C219"/>
        <s v="C220"/>
        <s v="C221"/>
        <s v="C222"/>
        <s v="C223"/>
        <s v="C224"/>
        <s v="C225"/>
        <s v="C226"/>
        <s v="C227"/>
        <s v="C228"/>
        <s v="C229"/>
        <s v="C230"/>
        <s v="C231"/>
        <s v="C232"/>
        <s v="C233"/>
        <s v="C234"/>
        <s v="C235"/>
        <s v="C236"/>
        <s v="C237"/>
        <s v="C238"/>
        <s v="C239"/>
        <s v="C240"/>
        <s v="C241"/>
        <s v="C242"/>
        <s v="C243"/>
        <s v="C244"/>
        <s v="C245"/>
        <s v="C246"/>
        <s v="C247"/>
        <s v="C248"/>
        <s v="C249"/>
        <s v="C250"/>
        <s v="C251"/>
        <s v="C252"/>
        <s v="C253"/>
        <s v="C254"/>
        <s v="C255"/>
        <s v="C256"/>
        <s v="C257"/>
        <s v="C258"/>
        <s v="C259"/>
        <s v="C260"/>
        <s v="C261"/>
        <s v="C262"/>
        <s v="C263"/>
        <s v="C264"/>
        <s v="C265"/>
        <s v="C266"/>
        <s v="C267"/>
        <s v="C268"/>
        <s v="C269"/>
        <s v="C270"/>
        <s v="C271"/>
        <s v="C272"/>
        <s v="C273"/>
        <s v="C274"/>
        <s v="C275"/>
        <s v="C276"/>
        <s v="C277"/>
        <s v="C278"/>
        <s v="C279"/>
        <s v="C280"/>
        <s v="C281"/>
        <s v="C282"/>
        <s v="C283"/>
        <s v="C284"/>
        <s v="C285"/>
        <s v="C286"/>
        <s v="C287"/>
        <s v="C288"/>
        <s v="C289"/>
        <s v="C290"/>
        <s v="C291"/>
        <s v="C292"/>
        <s v="C293"/>
        <s v="C294"/>
        <s v="C295"/>
        <s v="C296"/>
        <s v="C297"/>
        <s v="C298"/>
        <s v="C299"/>
        <s v="C300"/>
        <s v="C301"/>
        <s v="C302"/>
        <s v="C303"/>
        <s v="C304"/>
        <s v="C305"/>
        <s v="C306"/>
        <s v="C307"/>
        <s v="C308"/>
        <s v="C309"/>
        <s v="C310"/>
        <s v="C311"/>
        <s v="C312"/>
        <s v="C313"/>
        <s v="C314"/>
        <s v="C315"/>
        <s v="C316"/>
        <s v="C317"/>
        <s v="C318"/>
        <s v="C319"/>
        <s v="C320"/>
        <s v="C321"/>
        <s v="C322"/>
        <s v="C323"/>
        <s v="C324"/>
        <s v="C325"/>
        <s v="C326"/>
        <s v="C327"/>
        <s v="C328"/>
        <s v="C329"/>
        <s v="C330"/>
        <s v="C331"/>
        <s v="C332"/>
        <s v="C333"/>
        <s v="C334"/>
        <s v="C335"/>
        <s v="C336"/>
        <s v="C337"/>
        <s v="C338"/>
        <s v="C339"/>
        <s v="C340"/>
        <s v="C341"/>
        <s v="C342"/>
        <s v="C343"/>
        <s v="C344"/>
        <s v="C345"/>
        <s v="C346"/>
        <s v="C347"/>
        <s v="C348"/>
        <s v="C349"/>
        <s v="C350"/>
        <s v="C351"/>
        <s v="C352"/>
        <s v="C353"/>
        <s v="C354"/>
        <s v="C355"/>
        <s v="C356"/>
        <s v="C357"/>
        <s v="C358"/>
        <s v="C359"/>
        <s v="C360"/>
        <s v="C361"/>
        <s v="C362"/>
        <s v="C363"/>
        <s v="C364"/>
        <s v="C365"/>
        <s v="C366"/>
        <s v="C367"/>
        <s v="C368"/>
        <s v="C369"/>
        <s v="C370"/>
        <s v="C371"/>
        <s v="C372"/>
        <s v="C373"/>
        <s v="C374"/>
        <s v="C375"/>
        <s v="C376"/>
        <s v="C377"/>
        <s v="C378"/>
        <s v="C379"/>
        <s v="C380"/>
        <s v="C381"/>
        <s v="C382"/>
        <s v="C383"/>
        <s v="C384"/>
        <s v="C385"/>
        <s v="C386"/>
        <s v="C387"/>
        <s v="C388"/>
        <s v="C389"/>
        <s v="C390"/>
        <s v="C391"/>
        <s v="C392"/>
        <s v="C393"/>
        <s v="C394"/>
        <s v="C395"/>
        <s v="C396"/>
        <s v="C397"/>
        <s v="C398"/>
        <s v="C399"/>
        <s v="C400"/>
        <s v="C401"/>
        <s v="C402"/>
        <s v="C403"/>
        <s v="C404"/>
        <s v="C405"/>
        <s v="C406"/>
        <s v="C407"/>
        <s v="C408"/>
        <s v="C409"/>
        <s v="C410"/>
        <s v="C411"/>
        <s v="C412"/>
        <s v="C413"/>
        <s v="C414"/>
        <s v="C415"/>
        <s v="C416"/>
        <s v="C417"/>
        <s v="C418"/>
        <s v="C419"/>
        <s v="C420"/>
        <s v="C421"/>
        <s v="C422"/>
        <s v="C423"/>
        <s v="C424"/>
        <s v="C425"/>
        <s v="C426"/>
        <s v="C427"/>
        <s v="C428"/>
        <s v="C429"/>
        <s v="C430"/>
        <s v="C431"/>
        <s v="C432"/>
        <s v="C433"/>
        <s v="C434"/>
        <s v="C435"/>
        <s v="C436"/>
        <s v="C437"/>
        <s v="C438"/>
        <s v="C439"/>
        <s v="C440"/>
        <s v="C441"/>
        <s v="C442"/>
        <s v="C443"/>
        <s v="C444"/>
        <s v="C445"/>
        <s v="C446"/>
        <s v="C447"/>
        <s v="C448"/>
        <s v="C449"/>
        <s v="C450"/>
        <s v="C451"/>
        <s v="C452"/>
        <s v="C453"/>
        <s v="C454"/>
        <s v="C455"/>
        <s v="C456"/>
        <s v="C457"/>
        <s v="C458"/>
        <s v="C459"/>
        <s v="C460"/>
        <s v="C461"/>
        <s v="C462"/>
        <s v="C463"/>
        <s v="C464"/>
        <s v="C465"/>
        <s v="C466"/>
        <s v="C467"/>
        <s v="C468"/>
        <s v="C469"/>
        <s v="C470"/>
        <s v="C471"/>
        <s v="C472"/>
        <s v="C473"/>
        <s v="C474"/>
        <s v="C475"/>
        <s v="C476"/>
        <s v="C477"/>
        <s v="C478"/>
        <s v="C479"/>
        <s v="C480"/>
        <s v="C481"/>
        <s v="C482"/>
        <s v="C483"/>
        <s v="C484"/>
        <s v="C485"/>
        <s v="C486"/>
        <s v="C487"/>
        <s v="C488"/>
        <s v="C489"/>
        <s v="C490"/>
        <s v="C491"/>
        <s v="C492"/>
        <s v="C493"/>
        <s v="C494"/>
        <s v="C495"/>
        <s v="C496"/>
        <s v="C497"/>
        <s v="C498"/>
        <s v="C499"/>
        <s v="C500"/>
        <s v="C501"/>
        <s v="C502"/>
        <s v="C503"/>
        <s v="C504"/>
        <s v="C505"/>
        <s v="C506"/>
        <s v="C507"/>
        <s v="C508"/>
        <s v="C509"/>
        <s v="C510"/>
        <s v="C511"/>
        <s v="C512"/>
        <s v="C513"/>
        <s v="C514"/>
        <s v="C515"/>
        <s v="C516"/>
        <s v="C517"/>
        <s v="C518"/>
        <s v="C519"/>
        <s v="C520"/>
        <s v="C521"/>
        <s v="C522"/>
        <s v="C523"/>
        <s v="C524"/>
        <s v="C525"/>
        <s v="C526"/>
        <s v="C527"/>
        <s v="C528"/>
        <s v="C529"/>
        <s v="C530"/>
        <s v="C531"/>
        <s v="C532"/>
        <s v="C533"/>
        <s v="C534"/>
        <s v="C535"/>
        <s v="C536"/>
        <s v="C537"/>
        <s v="C538"/>
        <s v="C539"/>
        <s v="C540"/>
        <s v="C541"/>
        <s v="C542"/>
        <s v="C543"/>
        <s v="C544"/>
        <s v="C545"/>
        <s v="C546"/>
        <s v="C547"/>
        <s v="C548"/>
        <s v="C549"/>
        <s v="C550"/>
        <s v="C551"/>
        <s v="C552"/>
        <s v="C553"/>
        <s v="C554"/>
        <s v="C555"/>
        <s v="C556"/>
        <s v="C557"/>
        <s v="C558"/>
        <s v="C559"/>
        <s v="C560"/>
        <s v="C561"/>
        <s v="C562"/>
        <s v="C563"/>
        <s v="C564"/>
        <s v="C565"/>
        <s v="C566"/>
        <s v="C567"/>
        <s v="C568"/>
        <s v="C569"/>
        <s v="C570"/>
        <s v="C571"/>
        <s v="C572"/>
        <s v="C573"/>
        <s v="C574"/>
        <s v="C575"/>
        <s v="C576"/>
        <s v="C577"/>
        <s v="C578"/>
        <s v="C579"/>
        <s v="C580"/>
        <s v="C581"/>
        <s v="C582"/>
        <s v="C583"/>
        <s v="C584"/>
        <s v="C585"/>
        <s v="C586"/>
        <s v="C587"/>
        <s v="C588"/>
        <s v="C589"/>
        <s v="C590"/>
        <s v="C591"/>
        <s v="C592"/>
        <s v="C593"/>
        <s v="C594"/>
        <s v="C595"/>
        <s v="C596"/>
        <s v="C597"/>
        <s v="C598"/>
        <s v="C599"/>
        <s v="C600"/>
      </sharedItems>
    </cacheField>
    <cacheField name="Customer Name" numFmtId="0">
      <sharedItems count="500">
        <s v="Customer1"/>
        <s v="Customer2"/>
        <s v="Customer3"/>
        <s v="Customer4"/>
        <s v="Customer5"/>
        <s v="Customer6"/>
        <s v="Customer7"/>
        <s v="Customer8"/>
        <s v="Customer9"/>
        <s v="Customer10"/>
        <s v="Customer11"/>
        <s v="Customer12"/>
        <s v="Customer13"/>
        <s v="Customer14"/>
        <s v="Customer15"/>
        <s v="Customer16"/>
        <s v="Customer17"/>
        <s v="Customer18"/>
        <s v="Customer19"/>
        <s v="Customer20"/>
        <s v="Customer21"/>
        <s v="Customer22"/>
        <s v="Customer23"/>
        <s v="Customer24"/>
        <s v="Customer25"/>
        <s v="Customer26"/>
        <s v="Customer27"/>
        <s v="Customer28"/>
        <s v="Customer29"/>
        <s v="Customer30"/>
        <s v="Customer31"/>
        <s v="Customer32"/>
        <s v="Customer33"/>
        <s v="Customer34"/>
        <s v="Customer35"/>
        <s v="Customer36"/>
        <s v="Customer37"/>
        <s v="Customer38"/>
        <s v="Customer39"/>
        <s v="Customer40"/>
        <s v="Customer41"/>
        <s v="Customer42"/>
        <s v="Customer43"/>
        <s v="Customer44"/>
        <s v="Customer45"/>
        <s v="Customer46"/>
        <s v="Customer47"/>
        <s v="Customer48"/>
        <s v="Customer49"/>
        <s v="Customer50"/>
        <s v="Customer51"/>
        <s v="Customer52"/>
        <s v="Customer53"/>
        <s v="Customer54"/>
        <s v="Customer55"/>
        <s v="Customer56"/>
        <s v="Customer57"/>
        <s v="Customer58"/>
        <s v="Customer59"/>
        <s v="Customer60"/>
        <s v="Customer61"/>
        <s v="Customer62"/>
        <s v="Customer63"/>
        <s v="Customer64"/>
        <s v="Customer65"/>
        <s v="Customer66"/>
        <s v="Customer67"/>
        <s v="Customer68"/>
        <s v="Customer69"/>
        <s v="Customer70"/>
        <s v="Customer71"/>
        <s v="Customer72"/>
        <s v="Customer73"/>
        <s v="Customer74"/>
        <s v="Customer75"/>
        <s v="Customer76"/>
        <s v="Customer77"/>
        <s v="Customer78"/>
        <s v="Customer79"/>
        <s v="Customer80"/>
        <s v="Customer81"/>
        <s v="Customer82"/>
        <s v="Customer83"/>
        <s v="Customer84"/>
        <s v="Customer85"/>
        <s v="Customer86"/>
        <s v="Customer87"/>
        <s v="Customer88"/>
        <s v="Customer89"/>
        <s v="Customer90"/>
        <s v="Customer91"/>
        <s v="Customer92"/>
        <s v="Customer93"/>
        <s v="Customer94"/>
        <s v="Customer95"/>
        <s v="Customer96"/>
        <s v="Customer97"/>
        <s v="Customer98"/>
        <s v="Customer99"/>
        <s v="Customer100"/>
        <s v="Customer101"/>
        <s v="Customer102"/>
        <s v="Customer103"/>
        <s v="Customer104"/>
        <s v="Customer105"/>
        <s v="Customer106"/>
        <s v="Customer107"/>
        <s v="Customer108"/>
        <s v="Customer109"/>
        <s v="Customer110"/>
        <s v="Customer111"/>
        <s v="Customer112"/>
        <s v="Customer113"/>
        <s v="Customer114"/>
        <s v="Customer115"/>
        <s v="Customer116"/>
        <s v="Customer117"/>
        <s v="Customer118"/>
        <s v="Customer119"/>
        <s v="Customer120"/>
        <s v="Customer121"/>
        <s v="Customer122"/>
        <s v="Customer123"/>
        <s v="Customer124"/>
        <s v="Customer125"/>
        <s v="Customer126"/>
        <s v="Customer127"/>
        <s v="Customer128"/>
        <s v="Customer129"/>
        <s v="Customer130"/>
        <s v="Customer131"/>
        <s v="Customer132"/>
        <s v="Customer133"/>
        <s v="Customer134"/>
        <s v="Customer135"/>
        <s v="Customer136"/>
        <s v="Customer137"/>
        <s v="Customer138"/>
        <s v="Customer139"/>
        <s v="Customer140"/>
        <s v="Customer141"/>
        <s v="Customer142"/>
        <s v="Customer143"/>
        <s v="Customer144"/>
        <s v="Customer145"/>
        <s v="Customer146"/>
        <s v="Customer147"/>
        <s v="Customer148"/>
        <s v="Customer149"/>
        <s v="Customer150"/>
        <s v="Customer151"/>
        <s v="Customer152"/>
        <s v="Customer153"/>
        <s v="Customer154"/>
        <s v="Customer155"/>
        <s v="Customer156"/>
        <s v="Customer157"/>
        <s v="Customer158"/>
        <s v="Customer159"/>
        <s v="Customer160"/>
        <s v="Customer161"/>
        <s v="Customer162"/>
        <s v="Customer163"/>
        <s v="Customer164"/>
        <s v="Customer165"/>
        <s v="Customer166"/>
        <s v="Customer167"/>
        <s v="Customer168"/>
        <s v="Customer169"/>
        <s v="Customer170"/>
        <s v="Customer171"/>
        <s v="Customer172"/>
        <s v="Customer173"/>
        <s v="Customer174"/>
        <s v="Customer175"/>
        <s v="Customer176"/>
        <s v="Customer177"/>
        <s v="Customer178"/>
        <s v="Customer179"/>
        <s v="Customer180"/>
        <s v="Customer181"/>
        <s v="Customer182"/>
        <s v="Customer183"/>
        <s v="Customer184"/>
        <s v="Customer185"/>
        <s v="Customer186"/>
        <s v="Customer187"/>
        <s v="Customer188"/>
        <s v="Customer189"/>
        <s v="Customer190"/>
        <s v="Customer191"/>
        <s v="Customer192"/>
        <s v="Customer193"/>
        <s v="Customer194"/>
        <s v="Customer195"/>
        <s v="Customer196"/>
        <s v="Customer197"/>
        <s v="Customer198"/>
        <s v="Customer199"/>
        <s v="Customer200"/>
        <s v="Customer201"/>
        <s v="Customer202"/>
        <s v="Customer203"/>
        <s v="Customer204"/>
        <s v="Customer205"/>
        <s v="Customer206"/>
        <s v="Customer207"/>
        <s v="Customer208"/>
        <s v="Customer209"/>
        <s v="Customer210"/>
        <s v="Customer211"/>
        <s v="Customer212"/>
        <s v="Customer213"/>
        <s v="Customer214"/>
        <s v="Customer215"/>
        <s v="Customer216"/>
        <s v="Customer217"/>
        <s v="Customer218"/>
        <s v="Customer219"/>
        <s v="Customer220"/>
        <s v="Customer221"/>
        <s v="Customer222"/>
        <s v="Customer223"/>
        <s v="Customer224"/>
        <s v="Customer225"/>
        <s v="Customer226"/>
        <s v="Customer227"/>
        <s v="Customer228"/>
        <s v="Customer229"/>
        <s v="Customer230"/>
        <s v="Customer231"/>
        <s v="Customer232"/>
        <s v="Customer233"/>
        <s v="Customer234"/>
        <s v="Customer235"/>
        <s v="Customer236"/>
        <s v="Customer237"/>
        <s v="Customer238"/>
        <s v="Customer239"/>
        <s v="Customer240"/>
        <s v="Customer241"/>
        <s v="Customer242"/>
        <s v="Customer243"/>
        <s v="Customer244"/>
        <s v="Customer245"/>
        <s v="Customer246"/>
        <s v="Customer247"/>
        <s v="Customer248"/>
        <s v="Customer249"/>
        <s v="Customer250"/>
        <s v="Customer251"/>
        <s v="Customer252"/>
        <s v="Customer253"/>
        <s v="Customer254"/>
        <s v="Customer255"/>
        <s v="Customer256"/>
        <s v="Customer257"/>
        <s v="Customer258"/>
        <s v="Customer259"/>
        <s v="Customer260"/>
        <s v="Customer261"/>
        <s v="Customer262"/>
        <s v="Customer263"/>
        <s v="Customer264"/>
        <s v="Customer265"/>
        <s v="Customer266"/>
        <s v="Customer267"/>
        <s v="Customer268"/>
        <s v="Customer269"/>
        <s v="Customer270"/>
        <s v="Customer271"/>
        <s v="Customer272"/>
        <s v="Customer273"/>
        <s v="Customer274"/>
        <s v="Customer275"/>
        <s v="Customer276"/>
        <s v="Customer277"/>
        <s v="Customer278"/>
        <s v="Customer279"/>
        <s v="Customer280"/>
        <s v="Customer281"/>
        <s v="Customer282"/>
        <s v="Customer283"/>
        <s v="Customer284"/>
        <s v="Customer285"/>
        <s v="Customer286"/>
        <s v="Customer287"/>
        <s v="Customer288"/>
        <s v="Customer289"/>
        <s v="Customer290"/>
        <s v="Customer291"/>
        <s v="Customer292"/>
        <s v="Customer293"/>
        <s v="Customer294"/>
        <s v="Customer295"/>
        <s v="Customer296"/>
        <s v="Customer297"/>
        <s v="Customer298"/>
        <s v="Customer299"/>
        <s v="Customer300"/>
        <s v="Customer301"/>
        <s v="Customer302"/>
        <s v="Customer303"/>
        <s v="Customer304"/>
        <s v="Customer305"/>
        <s v="Customer306"/>
        <s v="Customer307"/>
        <s v="Customer308"/>
        <s v="Customer309"/>
        <s v="Customer310"/>
        <s v="Customer311"/>
        <s v="Customer312"/>
        <s v="Customer313"/>
        <s v="Customer314"/>
        <s v="Customer315"/>
        <s v="Customer316"/>
        <s v="Customer317"/>
        <s v="Customer318"/>
        <s v="Customer319"/>
        <s v="Customer320"/>
        <s v="Customer321"/>
        <s v="Customer322"/>
        <s v="Customer323"/>
        <s v="Customer324"/>
        <s v="Customer325"/>
        <s v="Customer326"/>
        <s v="Customer327"/>
        <s v="Customer328"/>
        <s v="Customer329"/>
        <s v="Customer330"/>
        <s v="Customer331"/>
        <s v="Customer332"/>
        <s v="Customer333"/>
        <s v="Customer334"/>
        <s v="Customer335"/>
        <s v="Customer336"/>
        <s v="Customer337"/>
        <s v="Customer338"/>
        <s v="Customer339"/>
        <s v="Customer340"/>
        <s v="Customer341"/>
        <s v="Customer342"/>
        <s v="Customer343"/>
        <s v="Customer344"/>
        <s v="Customer345"/>
        <s v="Customer346"/>
        <s v="Customer347"/>
        <s v="Customer348"/>
        <s v="Customer349"/>
        <s v="Customer350"/>
        <s v="Customer351"/>
        <s v="Customer352"/>
        <s v="Customer353"/>
        <s v="Customer354"/>
        <s v="Customer355"/>
        <s v="Customer356"/>
        <s v="Customer357"/>
        <s v="Customer358"/>
        <s v="Customer359"/>
        <s v="Customer360"/>
        <s v="Customer361"/>
        <s v="Customer362"/>
        <s v="Customer363"/>
        <s v="Customer364"/>
        <s v="Customer365"/>
        <s v="Customer366"/>
        <s v="Customer367"/>
        <s v="Customer368"/>
        <s v="Customer369"/>
        <s v="Customer370"/>
        <s v="Customer371"/>
        <s v="Customer372"/>
        <s v="Customer373"/>
        <s v="Customer374"/>
        <s v="Customer375"/>
        <s v="Customer376"/>
        <s v="Customer377"/>
        <s v="Customer378"/>
        <s v="Customer379"/>
        <s v="Customer380"/>
        <s v="Customer381"/>
        <s v="Customer382"/>
        <s v="Customer383"/>
        <s v="Customer384"/>
        <s v="Customer385"/>
        <s v="Customer386"/>
        <s v="Customer387"/>
        <s v="Customer388"/>
        <s v="Customer389"/>
        <s v="Customer390"/>
        <s v="Customer391"/>
        <s v="Customer392"/>
        <s v="Customer393"/>
        <s v="Customer394"/>
        <s v="Customer395"/>
        <s v="Customer396"/>
        <s v="Customer397"/>
        <s v="Customer398"/>
        <s v="Customer399"/>
        <s v="Customer400"/>
        <s v="Customer401"/>
        <s v="Customer402"/>
        <s v="Customer403"/>
        <s v="Customer404"/>
        <s v="Customer405"/>
        <s v="Customer406"/>
        <s v="Customer407"/>
        <s v="Customer408"/>
        <s v="Customer409"/>
        <s v="Customer410"/>
        <s v="Customer411"/>
        <s v="Customer412"/>
        <s v="Customer413"/>
        <s v="Customer414"/>
        <s v="Customer415"/>
        <s v="Customer416"/>
        <s v="Customer417"/>
        <s v="Customer418"/>
        <s v="Customer419"/>
        <s v="Customer420"/>
        <s v="Customer421"/>
        <s v="Customer422"/>
        <s v="Customer423"/>
        <s v="Customer424"/>
        <s v="Customer425"/>
        <s v="Customer426"/>
        <s v="Customer427"/>
        <s v="Customer428"/>
        <s v="Customer429"/>
        <s v="Customer430"/>
        <s v="Customer431"/>
        <s v="Customer432"/>
        <s v="Customer433"/>
        <s v="Customer434"/>
        <s v="Customer435"/>
        <s v="Customer436"/>
        <s v="Customer437"/>
        <s v="Customer438"/>
        <s v="Customer439"/>
        <s v="Customer440"/>
        <s v="Customer441"/>
        <s v="Customer442"/>
        <s v="Customer443"/>
        <s v="Customer444"/>
        <s v="Customer445"/>
        <s v="Customer446"/>
        <s v="Customer447"/>
        <s v="Customer448"/>
        <s v="Customer449"/>
        <s v="Customer450"/>
        <s v="Customer451"/>
        <s v="Customer452"/>
        <s v="Customer453"/>
        <s v="Customer454"/>
        <s v="Customer455"/>
        <s v="Customer456"/>
        <s v="Customer457"/>
        <s v="Customer458"/>
        <s v="Customer459"/>
        <s v="Customer460"/>
        <s v="Customer461"/>
        <s v="Customer462"/>
        <s v="Customer463"/>
        <s v="Customer464"/>
        <s v="Customer465"/>
        <s v="Customer466"/>
        <s v="Customer467"/>
        <s v="Customer468"/>
        <s v="Customer469"/>
        <s v="Customer470"/>
        <s v="Customer471"/>
        <s v="Customer472"/>
        <s v="Customer473"/>
        <s v="Customer474"/>
        <s v="Customer475"/>
        <s v="Customer476"/>
        <s v="Customer477"/>
        <s v="Customer478"/>
        <s v="Customer479"/>
        <s v="Customer480"/>
        <s v="Customer481"/>
        <s v="Customer482"/>
        <s v="Customer483"/>
        <s v="Customer484"/>
        <s v="Customer485"/>
        <s v="Customer486"/>
        <s v="Customer487"/>
        <s v="Customer488"/>
        <s v="Customer489"/>
        <s v="Customer490"/>
        <s v="Customer491"/>
        <s v="Customer492"/>
        <s v="Customer493"/>
        <s v="Customer494"/>
        <s v="Customer495"/>
        <s v="Customer496"/>
        <s v="Customer497"/>
        <s v="Customer498"/>
        <s v="Customer499"/>
        <s v="Customer500"/>
      </sharedItems>
    </cacheField>
    <cacheField name="Age" numFmtId="0">
      <sharedItems containsSemiMixedTypes="0" containsString="0" containsNumber="1" containsInteger="1" minValue="21" maxValue="65" count="45">
        <n v="33"/>
        <n v="54"/>
        <n v="65"/>
        <n v="58"/>
        <n v="57"/>
        <n v="29"/>
        <n v="51"/>
        <n v="47"/>
        <n v="42"/>
        <n v="35"/>
        <n v="25"/>
        <n v="24"/>
        <n v="59"/>
        <n v="28"/>
        <n v="43"/>
        <n v="32"/>
        <n v="44"/>
        <n v="48"/>
        <n v="46"/>
        <n v="62"/>
        <n v="53"/>
        <n v="56"/>
        <n v="52"/>
        <n v="40"/>
        <n v="26"/>
        <n v="37"/>
        <n v="22"/>
        <n v="27"/>
        <n v="23"/>
        <n v="30"/>
        <n v="36"/>
        <n v="39"/>
        <n v="64"/>
        <n v="31"/>
        <n v="63"/>
        <n v="55"/>
        <n v="50"/>
        <n v="60"/>
        <n v="49"/>
        <n v="38"/>
        <n v="21"/>
        <n v="41"/>
        <n v="45"/>
        <n v="61"/>
        <n v="34"/>
      </sharedItems>
    </cacheField>
    <cacheField name="Gender" numFmtId="0">
      <sharedItems count="2">
        <s v="Male"/>
        <s v="Female"/>
      </sharedItems>
    </cacheField>
    <cacheField name="Income Group" numFmtId="0">
      <sharedItems count="3">
        <s v="Medium"/>
        <s v="High"/>
        <s v="Low"/>
      </sharedItems>
    </cacheField>
    <cacheField name="Credit Score" numFmtId="0">
      <sharedItems containsSemiMixedTypes="0" containsString="0" containsNumber="1" containsInteger="1" minValue="550" maxValue="850" count="244">
        <n v="781"/>
        <n v="627"/>
        <n v="792"/>
        <n v="755"/>
        <n v="661"/>
        <n v="630"/>
        <n v="604"/>
        <n v="821"/>
        <n v="728"/>
        <n v="618"/>
        <n v="572"/>
        <n v="552"/>
        <n v="640"/>
        <n v="688"/>
        <n v="773"/>
        <n v="617"/>
        <n v="789"/>
        <n v="844"/>
        <n v="716"/>
        <n v="706"/>
        <n v="551"/>
        <n v="665"/>
        <n v="632"/>
        <n v="840"/>
        <n v="775"/>
        <n v="779"/>
        <n v="610"/>
        <n v="797"/>
        <n v="595"/>
        <n v="758"/>
        <n v="553"/>
        <n v="680"/>
        <n v="719"/>
        <n v="673"/>
        <n v="607"/>
        <n v="615"/>
        <n v="582"/>
        <n v="647"/>
        <n v="598"/>
        <n v="681"/>
        <n v="621"/>
        <n v="798"/>
        <n v="614"/>
        <n v="835"/>
        <n v="727"/>
        <n v="746"/>
        <n v="676"/>
        <n v="793"/>
        <n v="557"/>
        <n v="687"/>
        <n v="842"/>
        <n v="584"/>
        <n v="563"/>
        <n v="570"/>
        <n v="660"/>
        <n v="656"/>
        <n v="631"/>
        <n v="569"/>
        <n v="683"/>
        <n v="718"/>
        <n v="698"/>
        <n v="778"/>
        <n v="684"/>
        <n v="672"/>
        <n v="579"/>
        <n v="704"/>
        <n v="800"/>
        <n v="622"/>
        <n v="691"/>
        <n v="575"/>
        <n v="658"/>
        <n v="670"/>
        <n v="620"/>
        <n v="626"/>
        <n v="679"/>
        <n v="693"/>
        <n v="745"/>
        <n v="608"/>
        <n v="685"/>
        <n v="606"/>
        <n v="820"/>
        <n v="568"/>
        <n v="594"/>
        <n v="576"/>
        <n v="808"/>
        <n v="812"/>
        <n v="740"/>
        <n v="577"/>
        <n v="767"/>
        <n v="701"/>
        <n v="791"/>
        <n v="605"/>
        <n v="833"/>
        <n v="574"/>
        <n v="768"/>
        <n v="564"/>
        <n v="817"/>
        <n v="811"/>
        <n v="662"/>
        <n v="654"/>
        <n v="766"/>
        <n v="756"/>
        <n v="751"/>
        <n v="590"/>
        <n v="678"/>
        <n v="619"/>
        <n v="653"/>
        <n v="731"/>
        <n v="747"/>
        <n v="769"/>
        <n v="555"/>
        <n v="717"/>
        <n v="585"/>
        <n v="846"/>
        <n v="748"/>
        <n v="836"/>
        <n v="810"/>
        <n v="702"/>
        <n v="655"/>
        <n v="790"/>
        <n v="776"/>
        <n v="734"/>
        <n v="837"/>
        <n v="708"/>
        <n v="834"/>
        <n v="649"/>
        <n v="770"/>
        <n v="804"/>
        <n v="597"/>
        <n v="689"/>
        <n v="639"/>
        <n v="603"/>
        <n v="705"/>
        <n v="753"/>
        <n v="832"/>
        <n v="721"/>
        <n v="764"/>
        <n v="848"/>
        <n v="578"/>
        <n v="783"/>
        <n v="600"/>
        <n v="588"/>
        <n v="690"/>
        <n v="730"/>
        <n v="601"/>
        <n v="761"/>
        <n v="749"/>
        <n v="815"/>
        <n v="826"/>
        <n v="750"/>
        <n v="813"/>
        <n v="787"/>
        <n v="599"/>
        <n v="643"/>
        <n v="822"/>
        <n v="771"/>
        <n v="634"/>
        <n v="565"/>
        <n v="554"/>
        <n v="735"/>
        <n v="592"/>
        <n v="809"/>
        <n v="785"/>
        <n v="825"/>
        <n v="629"/>
        <n v="556"/>
        <n v="637"/>
        <n v="602"/>
        <n v="677"/>
        <n v="613"/>
        <n v="616"/>
        <n v="802"/>
        <n v="696"/>
        <n v="695"/>
        <n v="729"/>
        <n v="667"/>
        <n v="819"/>
        <n v="818"/>
        <n v="686"/>
        <n v="645"/>
        <n v="562"/>
        <n v="788"/>
        <n v="699"/>
        <n v="714"/>
        <n v="763"/>
        <n v="700"/>
        <n v="635"/>
        <n v="703"/>
        <n v="772"/>
        <n v="720"/>
        <n v="713"/>
        <n v="648"/>
        <n v="839"/>
        <n v="596"/>
        <n v="707"/>
        <n v="674"/>
        <n v="841"/>
        <n v="589"/>
        <n v="668"/>
        <n v="722"/>
        <n v="650"/>
        <n v="850"/>
        <n v="786"/>
        <n v="652"/>
        <n v="807"/>
        <n v="682"/>
        <n v="671"/>
        <n v="816"/>
        <n v="803"/>
        <n v="666"/>
        <n v="583"/>
        <n v="814"/>
        <n v="580"/>
        <n v="657"/>
        <n v="646"/>
        <n v="550"/>
        <n v="709"/>
        <n v="738"/>
        <n v="712"/>
        <n v="806"/>
        <n v="765"/>
        <n v="774"/>
        <n v="609"/>
        <n v="777"/>
        <n v="726"/>
        <n v="742"/>
        <n v="830"/>
        <n v="641"/>
        <n v="723"/>
        <n v="733"/>
        <n v="636"/>
        <n v="737"/>
        <n v="566"/>
        <n v="847"/>
        <n v="559"/>
        <n v="743"/>
        <n v="762"/>
        <n v="831"/>
        <n v="824"/>
        <n v="827"/>
        <n v="795"/>
        <n v="744"/>
        <n v="593"/>
        <n v="799"/>
      </sharedItems>
    </cacheField>
    <cacheField name="Credit Category" numFmtId="0">
      <sharedItems count="4">
        <s v="Excellent"/>
        <s v="Poor"/>
        <s v="Fair"/>
        <s v="Good"/>
      </sharedItems>
    </cacheField>
  </cacheFields>
  <extLst>
    <ext xmlns:x14="http://schemas.microsoft.com/office/spreadsheetml/2009/9/main" uri="{725AE2AE-9491-48be-B2B4-4EB974FC3084}">
      <x14:pivotCacheDefinition pivotCacheId="12297415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vani" refreshedDate="46276.728464814812" createdVersion="8" refreshedVersion="8" minRefreshableVersion="3" recordCount="500" xr:uid="{F3CF9646-090F-4D1F-A5B9-4FFB24927804}">
  <cacheSource type="worksheet">
    <worksheetSource name="Table2"/>
  </cacheSource>
  <cacheFields count="8">
    <cacheField name="Loan ID" numFmtId="0">
      <sharedItems count="500">
        <s v="L1001"/>
        <s v="L1002"/>
        <s v="L1003"/>
        <s v="L1004"/>
        <s v="L1005"/>
        <s v="L1006"/>
        <s v="L1007"/>
        <s v="L1008"/>
        <s v="L1009"/>
        <s v="L1010"/>
        <s v="L1011"/>
        <s v="L1012"/>
        <s v="L1013"/>
        <s v="L1014"/>
        <s v="L1015"/>
        <s v="L1016"/>
        <s v="L1017"/>
        <s v="L1018"/>
        <s v="L1019"/>
        <s v="L1020"/>
        <s v="L1021"/>
        <s v="L1022"/>
        <s v="L1023"/>
        <s v="L1024"/>
        <s v="L1025"/>
        <s v="L1026"/>
        <s v="L1027"/>
        <s v="L1028"/>
        <s v="L1029"/>
        <s v="L1030"/>
        <s v="L1031"/>
        <s v="L1032"/>
        <s v="L1033"/>
        <s v="L1034"/>
        <s v="L1035"/>
        <s v="L1036"/>
        <s v="L1037"/>
        <s v="L1038"/>
        <s v="L1039"/>
        <s v="L1040"/>
        <s v="L1041"/>
        <s v="L1042"/>
        <s v="L1043"/>
        <s v="L1044"/>
        <s v="L1045"/>
        <s v="L1046"/>
        <s v="L1047"/>
        <s v="L1048"/>
        <s v="L1049"/>
        <s v="L1050"/>
        <s v="L1051"/>
        <s v="L1052"/>
        <s v="L1053"/>
        <s v="L1054"/>
        <s v="L1055"/>
        <s v="L1056"/>
        <s v="L1057"/>
        <s v="L1058"/>
        <s v="L1059"/>
        <s v="L1060"/>
        <s v="L1061"/>
        <s v="L1062"/>
        <s v="L1063"/>
        <s v="L1064"/>
        <s v="L1065"/>
        <s v="L1066"/>
        <s v="L1067"/>
        <s v="L1068"/>
        <s v="L1069"/>
        <s v="L1070"/>
        <s v="L1071"/>
        <s v="L1072"/>
        <s v="L1073"/>
        <s v="L1074"/>
        <s v="L1075"/>
        <s v="L1076"/>
        <s v="L1077"/>
        <s v="L1078"/>
        <s v="L1079"/>
        <s v="L1080"/>
        <s v="L1081"/>
        <s v="L1082"/>
        <s v="L1083"/>
        <s v="L1084"/>
        <s v="L1085"/>
        <s v="L1086"/>
        <s v="L1087"/>
        <s v="L1088"/>
        <s v="L1089"/>
        <s v="L1090"/>
        <s v="L1091"/>
        <s v="L1092"/>
        <s v="L1093"/>
        <s v="L1094"/>
        <s v="L1095"/>
        <s v="L1096"/>
        <s v="L1097"/>
        <s v="L1098"/>
        <s v="L1099"/>
        <s v="L1100"/>
        <s v="L1101"/>
        <s v="L1102"/>
        <s v="L1103"/>
        <s v="L1104"/>
        <s v="L1105"/>
        <s v="L1106"/>
        <s v="L1107"/>
        <s v="L1108"/>
        <s v="L1109"/>
        <s v="L1110"/>
        <s v="L1111"/>
        <s v="L1112"/>
        <s v="L1113"/>
        <s v="L1114"/>
        <s v="L1115"/>
        <s v="L1116"/>
        <s v="L1117"/>
        <s v="L1118"/>
        <s v="L1119"/>
        <s v="L1120"/>
        <s v="L1121"/>
        <s v="L1122"/>
        <s v="L1123"/>
        <s v="L1124"/>
        <s v="L1125"/>
        <s v="L1126"/>
        <s v="L1127"/>
        <s v="L1128"/>
        <s v="L1129"/>
        <s v="L1130"/>
        <s v="L1131"/>
        <s v="L1132"/>
        <s v="L1133"/>
        <s v="L1134"/>
        <s v="L1135"/>
        <s v="L1136"/>
        <s v="L1137"/>
        <s v="L1138"/>
        <s v="L1139"/>
        <s v="L1140"/>
        <s v="L1141"/>
        <s v="L1142"/>
        <s v="L1143"/>
        <s v="L1144"/>
        <s v="L1145"/>
        <s v="L1146"/>
        <s v="L1147"/>
        <s v="L1148"/>
        <s v="L1149"/>
        <s v="L1150"/>
        <s v="L1151"/>
        <s v="L1152"/>
        <s v="L1153"/>
        <s v="L1154"/>
        <s v="L1155"/>
        <s v="L1156"/>
        <s v="L1157"/>
        <s v="L1158"/>
        <s v="L1159"/>
        <s v="L1160"/>
        <s v="L1161"/>
        <s v="L1162"/>
        <s v="L1163"/>
        <s v="L1164"/>
        <s v="L1165"/>
        <s v="L1166"/>
        <s v="L1167"/>
        <s v="L1168"/>
        <s v="L1169"/>
        <s v="L1170"/>
        <s v="L1171"/>
        <s v="L1172"/>
        <s v="L1173"/>
        <s v="L1174"/>
        <s v="L1175"/>
        <s v="L1176"/>
        <s v="L1177"/>
        <s v="L1178"/>
        <s v="L1179"/>
        <s v="L1180"/>
        <s v="L1181"/>
        <s v="L1182"/>
        <s v="L1183"/>
        <s v="L1184"/>
        <s v="L1185"/>
        <s v="L1186"/>
        <s v="L1187"/>
        <s v="L1188"/>
        <s v="L1189"/>
        <s v="L1190"/>
        <s v="L1191"/>
        <s v="L1192"/>
        <s v="L1193"/>
        <s v="L1194"/>
        <s v="L1195"/>
        <s v="L1196"/>
        <s v="L1197"/>
        <s v="L1198"/>
        <s v="L1199"/>
        <s v="L1200"/>
        <s v="L1201"/>
        <s v="L1202"/>
        <s v="L1203"/>
        <s v="L1204"/>
        <s v="L1205"/>
        <s v="L1206"/>
        <s v="L1207"/>
        <s v="L1208"/>
        <s v="L1209"/>
        <s v="L1210"/>
        <s v="L1211"/>
        <s v="L1212"/>
        <s v="L1213"/>
        <s v="L1214"/>
        <s v="L1215"/>
        <s v="L1216"/>
        <s v="L1217"/>
        <s v="L1218"/>
        <s v="L1219"/>
        <s v="L1220"/>
        <s v="L1221"/>
        <s v="L1222"/>
        <s v="L1223"/>
        <s v="L1224"/>
        <s v="L1225"/>
        <s v="L1226"/>
        <s v="L1227"/>
        <s v="L1228"/>
        <s v="L1229"/>
        <s v="L1230"/>
        <s v="L1231"/>
        <s v="L1232"/>
        <s v="L1233"/>
        <s v="L1234"/>
        <s v="L1235"/>
        <s v="L1236"/>
        <s v="L1237"/>
        <s v="L1238"/>
        <s v="L1239"/>
        <s v="L1240"/>
        <s v="L1241"/>
        <s v="L1242"/>
        <s v="L1243"/>
        <s v="L1244"/>
        <s v="L1245"/>
        <s v="L1246"/>
        <s v="L1247"/>
        <s v="L1248"/>
        <s v="L1249"/>
        <s v="L1250"/>
        <s v="L1251"/>
        <s v="L1252"/>
        <s v="L1253"/>
        <s v="L1254"/>
        <s v="L1255"/>
        <s v="L1256"/>
        <s v="L1257"/>
        <s v="L1258"/>
        <s v="L1259"/>
        <s v="L1260"/>
        <s v="L1261"/>
        <s v="L1262"/>
        <s v="L1263"/>
        <s v="L1264"/>
        <s v="L1265"/>
        <s v="L1266"/>
        <s v="L1267"/>
        <s v="L1268"/>
        <s v="L1269"/>
        <s v="L1270"/>
        <s v="L1271"/>
        <s v="L1272"/>
        <s v="L1273"/>
        <s v="L1274"/>
        <s v="L1275"/>
        <s v="L1276"/>
        <s v="L1277"/>
        <s v="L1278"/>
        <s v="L1279"/>
        <s v="L1280"/>
        <s v="L1281"/>
        <s v="L1282"/>
        <s v="L1283"/>
        <s v="L1284"/>
        <s v="L1285"/>
        <s v="L1286"/>
        <s v="L1287"/>
        <s v="L1288"/>
        <s v="L1289"/>
        <s v="L1290"/>
        <s v="L1291"/>
        <s v="L1292"/>
        <s v="L1293"/>
        <s v="L1294"/>
        <s v="L1295"/>
        <s v="L1296"/>
        <s v="L1297"/>
        <s v="L1298"/>
        <s v="L1299"/>
        <s v="L1300"/>
        <s v="L1301"/>
        <s v="L1302"/>
        <s v="L1303"/>
        <s v="L1304"/>
        <s v="L1305"/>
        <s v="L1306"/>
        <s v="L1307"/>
        <s v="L1308"/>
        <s v="L1309"/>
        <s v="L1310"/>
        <s v="L1311"/>
        <s v="L1312"/>
        <s v="L1313"/>
        <s v="L1314"/>
        <s v="L1315"/>
        <s v="L1316"/>
        <s v="L1317"/>
        <s v="L1318"/>
        <s v="L1319"/>
        <s v="L1320"/>
        <s v="L1321"/>
        <s v="L1322"/>
        <s v="L1323"/>
        <s v="L1324"/>
        <s v="L1325"/>
        <s v="L1326"/>
        <s v="L1327"/>
        <s v="L1328"/>
        <s v="L1329"/>
        <s v="L1330"/>
        <s v="L1331"/>
        <s v="L1332"/>
        <s v="L1333"/>
        <s v="L1334"/>
        <s v="L1335"/>
        <s v="L1336"/>
        <s v="L1337"/>
        <s v="L1338"/>
        <s v="L1339"/>
        <s v="L1340"/>
        <s v="L1341"/>
        <s v="L1342"/>
        <s v="L1343"/>
        <s v="L1344"/>
        <s v="L1345"/>
        <s v="L1346"/>
        <s v="L1347"/>
        <s v="L1348"/>
        <s v="L1349"/>
        <s v="L1350"/>
        <s v="L1351"/>
        <s v="L1352"/>
        <s v="L1353"/>
        <s v="L1354"/>
        <s v="L1355"/>
        <s v="L1356"/>
        <s v="L1357"/>
        <s v="L1358"/>
        <s v="L1359"/>
        <s v="L1360"/>
        <s v="L1361"/>
        <s v="L1362"/>
        <s v="L1363"/>
        <s v="L1364"/>
        <s v="L1365"/>
        <s v="L1366"/>
        <s v="L1367"/>
        <s v="L1368"/>
        <s v="L1369"/>
        <s v="L1370"/>
        <s v="L1371"/>
        <s v="L1372"/>
        <s v="L1373"/>
        <s v="L1374"/>
        <s v="L1375"/>
        <s v="L1376"/>
        <s v="L1377"/>
        <s v="L1378"/>
        <s v="L1379"/>
        <s v="L1380"/>
        <s v="L1381"/>
        <s v="L1382"/>
        <s v="L1383"/>
        <s v="L1384"/>
        <s v="L1385"/>
        <s v="L1386"/>
        <s v="L1387"/>
        <s v="L1388"/>
        <s v="L1389"/>
        <s v="L1390"/>
        <s v="L1391"/>
        <s v="L1392"/>
        <s v="L1393"/>
        <s v="L1394"/>
        <s v="L1395"/>
        <s v="L1396"/>
        <s v="L1397"/>
        <s v="L1398"/>
        <s v="L1399"/>
        <s v="L1400"/>
        <s v="L1401"/>
        <s v="L1402"/>
        <s v="L1403"/>
        <s v="L1404"/>
        <s v="L1405"/>
        <s v="L1406"/>
        <s v="L1407"/>
        <s v="L1408"/>
        <s v="L1409"/>
        <s v="L1410"/>
        <s v="L1411"/>
        <s v="L1412"/>
        <s v="L1413"/>
        <s v="L1414"/>
        <s v="L1415"/>
        <s v="L1416"/>
        <s v="L1417"/>
        <s v="L1418"/>
        <s v="L1419"/>
        <s v="L1420"/>
        <s v="L1421"/>
        <s v="L1422"/>
        <s v="L1423"/>
        <s v="L1424"/>
        <s v="L1425"/>
        <s v="L1426"/>
        <s v="L1427"/>
        <s v="L1428"/>
        <s v="L1429"/>
        <s v="L1430"/>
        <s v="L1431"/>
        <s v="L1432"/>
        <s v="L1433"/>
        <s v="L1434"/>
        <s v="L1435"/>
        <s v="L1436"/>
        <s v="L1437"/>
        <s v="L1438"/>
        <s v="L1439"/>
        <s v="L1440"/>
        <s v="L1441"/>
        <s v="L1442"/>
        <s v="L1443"/>
        <s v="L1444"/>
        <s v="L1445"/>
        <s v="L1446"/>
        <s v="L1447"/>
        <s v="L1448"/>
        <s v="L1449"/>
        <s v="L1450"/>
        <s v="L1451"/>
        <s v="L1452"/>
        <s v="L1453"/>
        <s v="L1454"/>
        <s v="L1455"/>
        <s v="L1456"/>
        <s v="L1457"/>
        <s v="L1458"/>
        <s v="L1459"/>
        <s v="L1460"/>
        <s v="L1461"/>
        <s v="L1462"/>
        <s v="L1463"/>
        <s v="L1464"/>
        <s v="L1465"/>
        <s v="L1466"/>
        <s v="L1467"/>
        <s v="L1468"/>
        <s v="L1469"/>
        <s v="L1470"/>
        <s v="L1471"/>
        <s v="L1472"/>
        <s v="L1473"/>
        <s v="L1474"/>
        <s v="L1475"/>
        <s v="L1476"/>
        <s v="L1477"/>
        <s v="L1478"/>
        <s v="L1479"/>
        <s v="L1480"/>
        <s v="L1481"/>
        <s v="L1482"/>
        <s v="L1483"/>
        <s v="L1484"/>
        <s v="L1485"/>
        <s v="L1486"/>
        <s v="L1487"/>
        <s v="L1488"/>
        <s v="L1489"/>
        <s v="L1490"/>
        <s v="L1491"/>
        <s v="L1492"/>
        <s v="L1493"/>
        <s v="L1494"/>
        <s v="L1495"/>
        <s v="L1496"/>
        <s v="L1497"/>
        <s v="L1498"/>
        <s v="L1499"/>
        <s v="L1500"/>
      </sharedItems>
    </cacheField>
    <cacheField name="Customer ID" numFmtId="0">
      <sharedItems count="309">
        <s v="C306"/>
        <s v="C123"/>
        <s v="C190"/>
        <s v="C486"/>
        <s v="C455"/>
        <s v="C452"/>
        <s v="C102"/>
        <s v="C513"/>
        <s v="C255"/>
        <s v="C155"/>
        <s v="C166"/>
        <s v="C139"/>
        <s v="C326"/>
        <s v="C567"/>
        <s v="C271"/>
        <s v="C553"/>
        <s v="C367"/>
        <s v="C121"/>
        <s v="C511"/>
        <s v="C408"/>
        <s v="C192"/>
        <s v="C220"/>
        <s v="C182"/>
        <s v="C111"/>
        <s v="C366"/>
        <s v="C445"/>
        <s v="C387"/>
        <s v="C407"/>
        <s v="C300"/>
        <s v="C450"/>
        <s v="C592"/>
        <s v="C140"/>
        <s v="C418"/>
        <s v="C219"/>
        <s v="C480"/>
        <s v="C218"/>
        <s v="C165"/>
        <s v="C426"/>
        <s v="C483"/>
        <s v="C292"/>
        <s v="C456"/>
        <s v="C337"/>
        <s v="C169"/>
        <s v="C110"/>
        <s v="C539"/>
        <s v="C411"/>
        <s v="C532"/>
        <s v="C304"/>
        <s v="C305"/>
        <s v="C577"/>
        <s v="C392"/>
        <s v="C399"/>
        <s v="C345"/>
        <s v="C193"/>
        <s v="C461"/>
        <s v="C465"/>
        <s v="C523"/>
        <s v="C146"/>
        <s v="C471"/>
        <s v="C534"/>
        <s v="C481"/>
        <s v="C487"/>
        <s v="C263"/>
        <s v="C222"/>
        <s v="C204"/>
        <s v="C391"/>
        <s v="C565"/>
        <s v="C106"/>
        <s v="C227"/>
        <s v="C282"/>
        <s v="C294"/>
        <s v="C237"/>
        <s v="C585"/>
        <s v="C488"/>
        <s v="C272"/>
        <s v="C385"/>
        <s v="C283"/>
        <s v="C370"/>
        <s v="C151"/>
        <s v="C291"/>
        <s v="C203"/>
        <s v="C162"/>
        <s v="C591"/>
        <s v="C375"/>
        <s v="C108"/>
        <s v="C580"/>
        <s v="C453"/>
        <s v="C191"/>
        <s v="C341"/>
        <s v="C499"/>
        <s v="C247"/>
        <s v="C571"/>
        <s v="C268"/>
        <s v="C361"/>
        <s v="C369"/>
        <s v="C469"/>
        <s v="C472"/>
        <s v="C152"/>
        <s v="C451"/>
        <s v="C457"/>
        <s v="C545"/>
        <s v="C311"/>
        <s v="C496"/>
        <s v="C242"/>
        <s v="C520"/>
        <s v="C246"/>
        <s v="C528"/>
        <s v="C490"/>
        <s v="C185"/>
        <s v="C396"/>
        <s v="C234"/>
        <s v="C556"/>
        <s v="C225"/>
        <s v="C384"/>
        <s v="C195"/>
        <s v="C117"/>
        <s v="C338"/>
        <s v="C231"/>
        <s v="C174"/>
        <s v="C210"/>
        <s v="C245"/>
        <s v="C561"/>
        <s v="C289"/>
        <s v="C521"/>
        <s v="C526"/>
        <s v="C323"/>
        <s v="C381"/>
        <s v="C196"/>
        <s v="C122"/>
        <s v="C365"/>
        <s v="C594"/>
        <s v="C389"/>
        <s v="C212"/>
        <s v="C400"/>
        <s v="C398"/>
        <s v="C502"/>
        <s v="C476"/>
        <s v="C109"/>
        <s v="C430"/>
        <s v="C516"/>
        <s v="C395"/>
        <s v="C458"/>
        <s v="C100"/>
        <s v="C380"/>
        <s v="C200"/>
        <s v="C150"/>
        <s v="C414"/>
        <s v="C131"/>
        <s v="C467"/>
        <s v="C436"/>
        <s v="C277"/>
        <s v="C226"/>
        <s v="C377"/>
        <s v="C562"/>
        <s v="C547"/>
        <s v="C372"/>
        <s v="C514"/>
        <s v="C153"/>
        <s v="C355"/>
        <s v="C266"/>
        <s v="C259"/>
        <s v="C240"/>
        <s v="C178"/>
        <s v="C344"/>
        <s v="C417"/>
        <s v="C371"/>
        <s v="C498"/>
        <s v="C506"/>
        <s v="C215"/>
        <s v="C536"/>
        <s v="C463"/>
        <s v="C462"/>
        <s v="C257"/>
        <s v="C439"/>
        <s v="C261"/>
        <s v="C239"/>
        <s v="C544"/>
        <s v="C503"/>
        <s v="C325"/>
        <s v="C274"/>
        <s v="C321"/>
        <s v="C298"/>
        <s v="C235"/>
        <s v="C363"/>
        <s v="C429"/>
        <s v="C349"/>
        <s v="C313"/>
        <s v="C508"/>
        <s v="C333"/>
        <s v="C579"/>
        <s v="C281"/>
        <s v="C228"/>
        <s v="C278"/>
        <s v="C507"/>
        <s v="C175"/>
        <s v="C296"/>
        <s v="C557"/>
        <s v="C160"/>
        <s v="C157"/>
        <s v="C431"/>
        <s v="C444"/>
        <s v="C328"/>
        <s v="C168"/>
        <s v="C494"/>
        <s v="C214"/>
        <s v="C141"/>
        <s v="C548"/>
        <s v="C505"/>
        <s v="C161"/>
        <s v="C340"/>
        <s v="C569"/>
        <s v="C402"/>
        <s v="C286"/>
        <s v="C500"/>
        <s v="C512"/>
        <s v="C163"/>
        <s v="C359"/>
        <s v="C464"/>
        <s v="C409"/>
        <s v="C199"/>
        <s v="C595"/>
        <s v="C575"/>
        <s v="C443"/>
        <s v="C180"/>
        <s v="C353"/>
        <s v="C309"/>
        <s v="C518"/>
        <s v="C194"/>
        <s v="C207"/>
        <s v="C584"/>
        <s v="C149"/>
        <s v="C186"/>
        <s v="C578"/>
        <s v="C346"/>
        <s v="C167"/>
        <s v="C388"/>
        <s v="C184"/>
        <s v="C558"/>
        <s v="C158"/>
        <s v="C279"/>
        <s v="C535"/>
        <s v="C128"/>
        <s v="C475"/>
        <s v="C156"/>
        <s v="C101"/>
        <s v="C588"/>
        <s v="C301"/>
        <s v="C583"/>
        <s v="C293"/>
        <s v="C422"/>
        <s v="C522"/>
        <s v="C574"/>
        <s v="C382"/>
        <s v="C124"/>
        <s v="C440"/>
        <s v="C136"/>
        <s v="C205"/>
        <s v="C148"/>
        <s v="C530"/>
        <s v="C336"/>
        <s v="C393"/>
        <s v="C432"/>
        <s v="C527"/>
        <s v="C352"/>
        <s v="C570"/>
        <s v="C303"/>
        <s v="C264"/>
        <s v="C211"/>
        <s v="C276"/>
        <s v="C332"/>
        <s v="C173"/>
        <s v="C474"/>
        <s v="C383"/>
        <s v="C348"/>
        <s v="C368"/>
        <s v="C244"/>
        <s v="C179"/>
        <s v="C302"/>
        <s v="C460"/>
        <s v="C126"/>
        <s v="C275"/>
        <s v="C135"/>
        <s v="C403"/>
        <s v="C171"/>
        <s v="C554"/>
        <s v="C390"/>
        <s v="C351"/>
        <s v="C170"/>
        <s v="C434"/>
        <s v="C435"/>
        <s v="C509"/>
        <s v="C416"/>
        <s v="C415"/>
        <s v="C327"/>
        <s v="C586"/>
        <s v="C260"/>
        <s v="C549"/>
        <s v="C129"/>
        <s v="C285"/>
        <s v="C181"/>
        <s v="C252"/>
        <s v="C249"/>
        <s v="C589"/>
        <s v="C394"/>
        <s v="C374"/>
        <s v="C339"/>
        <s v="C425"/>
        <s v="C107"/>
        <s v="C529"/>
      </sharedItems>
    </cacheField>
    <cacheField name="Branch ID" numFmtId="0">
      <sharedItems count="10">
        <s v="B0007"/>
        <s v="B0005"/>
        <s v="B0002"/>
        <s v="B0009"/>
        <s v="B0003"/>
        <s v="B0001"/>
        <s v="B0006"/>
        <s v="B0010"/>
        <s v="B0008"/>
        <s v="B0004"/>
      </sharedItems>
    </cacheField>
    <cacheField name="Loan Product" numFmtId="0">
      <sharedItems count="4">
        <s v="Credit Card"/>
        <s v="Auto Loan"/>
        <s v="Personal Loan"/>
        <s v="Mortgage"/>
      </sharedItems>
    </cacheField>
    <cacheField name="Loan Amount" numFmtId="0">
      <sharedItems containsSemiMixedTypes="0" containsString="0" containsNumber="1" containsInteger="1" minValue="10000" maxValue="100000" count="90">
        <n v="63000"/>
        <n v="58000"/>
        <n v="98000"/>
        <n v="77000"/>
        <n v="10000"/>
        <n v="81000"/>
        <n v="49000"/>
        <n v="52000"/>
        <n v="84000"/>
        <n v="96000"/>
        <n v="23000"/>
        <n v="15000"/>
        <n v="91000"/>
        <n v="85000"/>
        <n v="76000"/>
        <n v="37000"/>
        <n v="16000"/>
        <n v="75000"/>
        <n v="57000"/>
        <n v="71000"/>
        <n v="33000"/>
        <n v="68000"/>
        <n v="89000"/>
        <n v="94000"/>
        <n v="60000"/>
        <n v="41000"/>
        <n v="13000"/>
        <n v="73000"/>
        <n v="17000"/>
        <n v="88000"/>
        <n v="80000"/>
        <n v="31000"/>
        <n v="74000"/>
        <n v="11000"/>
        <n v="18000"/>
        <n v="22000"/>
        <n v="45000"/>
        <n v="46000"/>
        <n v="53000"/>
        <n v="70000"/>
        <n v="87000"/>
        <n v="42000"/>
        <n v="36000"/>
        <n v="72000"/>
        <n v="100000"/>
        <n v="20000"/>
        <n v="86000"/>
        <n v="24000"/>
        <n v="79000"/>
        <n v="39000"/>
        <n v="48000"/>
        <n v="61000"/>
        <n v="38000"/>
        <n v="59000"/>
        <n v="30000"/>
        <n v="12000"/>
        <n v="62000"/>
        <n v="54000"/>
        <n v="26000"/>
        <n v="64000"/>
        <n v="14000"/>
        <n v="25000"/>
        <n v="27000"/>
        <n v="40000"/>
        <n v="55000"/>
        <n v="92000"/>
        <n v="50000"/>
        <n v="28000"/>
        <n v="78000"/>
        <n v="99000"/>
        <n v="19000"/>
        <n v="47000"/>
        <n v="44000"/>
        <n v="93000"/>
        <n v="34000"/>
        <n v="67000"/>
        <n v="43000"/>
        <n v="51000"/>
        <n v="83000"/>
        <n v="29000"/>
        <n v="35000"/>
        <n v="65000"/>
        <n v="56000"/>
        <n v="95000"/>
        <n v="97000"/>
        <n v="66000"/>
        <n v="69000"/>
        <n v="32000"/>
        <n v="82000"/>
        <n v="90000"/>
      </sharedItems>
    </cacheField>
    <cacheField name="DTI" numFmtId="0">
      <sharedItems containsSemiMixedTypes="0" containsString="0" containsNumber="1" minValue="0.15" maxValue="0.55000000000000004" count="41">
        <n v="0.41"/>
        <n v="0.37"/>
        <n v="0.31"/>
        <n v="0.36"/>
        <n v="0.49"/>
        <n v="0.21"/>
        <n v="0.38"/>
        <n v="0.4"/>
        <n v="0.33"/>
        <n v="0.24"/>
        <n v="0.43"/>
        <n v="0.44"/>
        <n v="0.55000000000000004"/>
        <n v="0.46"/>
        <n v="0.54"/>
        <n v="0.28000000000000003"/>
        <n v="0.22"/>
        <n v="0.2"/>
        <n v="0.48"/>
        <n v="0.53"/>
        <n v="0.26"/>
        <n v="0.52"/>
        <n v="0.34"/>
        <n v="0.39"/>
        <n v="0.15"/>
        <n v="0.18"/>
        <n v="0.28999999999999998"/>
        <n v="0.35"/>
        <n v="0.27"/>
        <n v="0.51"/>
        <n v="0.23"/>
        <n v="0.5"/>
        <n v="0.25"/>
        <n v="0.17"/>
        <n v="0.42"/>
        <n v="0.16"/>
        <n v="0.19"/>
        <n v="0.3"/>
        <n v="0.45"/>
        <n v="0.32"/>
        <n v="0.47"/>
      </sharedItems>
    </cacheField>
    <cacheField name="Loan Status" numFmtId="0">
      <sharedItems count="2">
        <s v="Active"/>
        <s v="Default"/>
      </sharedItems>
    </cacheField>
    <cacheField name="Default Flag"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2165368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vani" refreshedDate="46276.74556585648" createdVersion="8" refreshedVersion="8" minRefreshableVersion="3" recordCount="500" xr:uid="{082B159E-1AB5-46DE-8815-825C00402133}">
  <cacheSource type="worksheet">
    <worksheetSource name="Table3"/>
  </cacheSource>
  <cacheFields count="8">
    <cacheField name="Transaction ID" numFmtId="0">
      <sharedItems count="500">
        <s v="T5001"/>
        <s v="T5002"/>
        <s v="T5003"/>
        <s v="T5004"/>
        <s v="T5005"/>
        <s v="T5006"/>
        <s v="T5007"/>
        <s v="T5008"/>
        <s v="T5009"/>
        <s v="T5010"/>
        <s v="T5011"/>
        <s v="T5012"/>
        <s v="T5013"/>
        <s v="T5014"/>
        <s v="T5015"/>
        <s v="T5016"/>
        <s v="T5017"/>
        <s v="T5018"/>
        <s v="T5019"/>
        <s v="T5020"/>
        <s v="T5021"/>
        <s v="T5022"/>
        <s v="T5023"/>
        <s v="T5024"/>
        <s v="T5025"/>
        <s v="T5026"/>
        <s v="T5027"/>
        <s v="T5028"/>
        <s v="T5029"/>
        <s v="T5030"/>
        <s v="T5031"/>
        <s v="T5032"/>
        <s v="T5033"/>
        <s v="T5034"/>
        <s v="T5035"/>
        <s v="T5036"/>
        <s v="T5037"/>
        <s v="T5038"/>
        <s v="T5039"/>
        <s v="T5040"/>
        <s v="T5041"/>
        <s v="T5042"/>
        <s v="T5043"/>
        <s v="T5044"/>
        <s v="T5045"/>
        <s v="T5046"/>
        <s v="T5047"/>
        <s v="T5048"/>
        <s v="T5049"/>
        <s v="T5050"/>
        <s v="T5051"/>
        <s v="T5052"/>
        <s v="T5053"/>
        <s v="T5054"/>
        <s v="T5055"/>
        <s v="T5056"/>
        <s v="T5057"/>
        <s v="T5058"/>
        <s v="T5059"/>
        <s v="T5060"/>
        <s v="T5061"/>
        <s v="T5062"/>
        <s v="T5063"/>
        <s v="T5064"/>
        <s v="T5065"/>
        <s v="T5066"/>
        <s v="T5067"/>
        <s v="T5068"/>
        <s v="T5069"/>
        <s v="T5070"/>
        <s v="T5071"/>
        <s v="T5072"/>
        <s v="T5073"/>
        <s v="T5074"/>
        <s v="T5075"/>
        <s v="T5076"/>
        <s v="T5077"/>
        <s v="T5078"/>
        <s v="T5079"/>
        <s v="T5080"/>
        <s v="T5081"/>
        <s v="T5082"/>
        <s v="T5083"/>
        <s v="T5084"/>
        <s v="T5085"/>
        <s v="T5086"/>
        <s v="T5087"/>
        <s v="T5088"/>
        <s v="T5089"/>
        <s v="T5090"/>
        <s v="T5091"/>
        <s v="T5092"/>
        <s v="T5093"/>
        <s v="T5094"/>
        <s v="T5095"/>
        <s v="T5096"/>
        <s v="T5097"/>
        <s v="T5098"/>
        <s v="T5099"/>
        <s v="T5100"/>
        <s v="T5101"/>
        <s v="T5102"/>
        <s v="T5103"/>
        <s v="T5104"/>
        <s v="T5105"/>
        <s v="T5106"/>
        <s v="T5107"/>
        <s v="T5108"/>
        <s v="T5109"/>
        <s v="T5110"/>
        <s v="T5111"/>
        <s v="T5112"/>
        <s v="T5113"/>
        <s v="T5114"/>
        <s v="T5115"/>
        <s v="T5116"/>
        <s v="T5117"/>
        <s v="T5118"/>
        <s v="T5119"/>
        <s v="T5120"/>
        <s v="T5121"/>
        <s v="T5122"/>
        <s v="T5123"/>
        <s v="T5124"/>
        <s v="T5125"/>
        <s v="T5126"/>
        <s v="T5127"/>
        <s v="T5128"/>
        <s v="T5129"/>
        <s v="T5130"/>
        <s v="T5131"/>
        <s v="T5132"/>
        <s v="T5133"/>
        <s v="T5134"/>
        <s v="T5135"/>
        <s v="T5136"/>
        <s v="T5137"/>
        <s v="T5138"/>
        <s v="T5139"/>
        <s v="T5140"/>
        <s v="T5141"/>
        <s v="T5142"/>
        <s v="T5143"/>
        <s v="T5144"/>
        <s v="T5145"/>
        <s v="T5146"/>
        <s v="T5147"/>
        <s v="T5148"/>
        <s v="T5149"/>
        <s v="T5150"/>
        <s v="T5151"/>
        <s v="T5152"/>
        <s v="T5153"/>
        <s v="T5154"/>
        <s v="T5155"/>
        <s v="T5156"/>
        <s v="T5157"/>
        <s v="T5158"/>
        <s v="T5159"/>
        <s v="T5160"/>
        <s v="T5161"/>
        <s v="T5162"/>
        <s v="T5163"/>
        <s v="T5164"/>
        <s v="T5165"/>
        <s v="T5166"/>
        <s v="T5167"/>
        <s v="T5168"/>
        <s v="T5169"/>
        <s v="T5170"/>
        <s v="T5171"/>
        <s v="T5172"/>
        <s v="T5173"/>
        <s v="T5174"/>
        <s v="T5175"/>
        <s v="T5176"/>
        <s v="T5177"/>
        <s v="T5178"/>
        <s v="T5179"/>
        <s v="T5180"/>
        <s v="T5181"/>
        <s v="T5182"/>
        <s v="T5183"/>
        <s v="T5184"/>
        <s v="T5185"/>
        <s v="T5186"/>
        <s v="T5187"/>
        <s v="T5188"/>
        <s v="T5189"/>
        <s v="T5190"/>
        <s v="T5191"/>
        <s v="T5192"/>
        <s v="T5193"/>
        <s v="T5194"/>
        <s v="T5195"/>
        <s v="T5196"/>
        <s v="T5197"/>
        <s v="T5198"/>
        <s v="T5199"/>
        <s v="T5200"/>
        <s v="T5201"/>
        <s v="T5202"/>
        <s v="T5203"/>
        <s v="T5204"/>
        <s v="T5205"/>
        <s v="T5206"/>
        <s v="T5207"/>
        <s v="T5208"/>
        <s v="T5209"/>
        <s v="T5210"/>
        <s v="T5211"/>
        <s v="T5212"/>
        <s v="T5213"/>
        <s v="T5214"/>
        <s v="T5215"/>
        <s v="T5216"/>
        <s v="T5217"/>
        <s v="T5218"/>
        <s v="T5219"/>
        <s v="T5220"/>
        <s v="T5221"/>
        <s v="T5222"/>
        <s v="T5223"/>
        <s v="T5224"/>
        <s v="T5225"/>
        <s v="T5226"/>
        <s v="T5227"/>
        <s v="T5228"/>
        <s v="T5229"/>
        <s v="T5230"/>
        <s v="T5231"/>
        <s v="T5232"/>
        <s v="T5233"/>
        <s v="T5234"/>
        <s v="T5235"/>
        <s v="T5236"/>
        <s v="T5237"/>
        <s v="T5238"/>
        <s v="T5239"/>
        <s v="T5240"/>
        <s v="T5241"/>
        <s v="T5242"/>
        <s v="T5243"/>
        <s v="T5244"/>
        <s v="T5245"/>
        <s v="T5246"/>
        <s v="T5247"/>
        <s v="T5248"/>
        <s v="T5249"/>
        <s v="T5250"/>
        <s v="T5251"/>
        <s v="T5252"/>
        <s v="T5253"/>
        <s v="T5254"/>
        <s v="T5255"/>
        <s v="T5256"/>
        <s v="T5257"/>
        <s v="T5258"/>
        <s v="T5259"/>
        <s v="T5260"/>
        <s v="T5261"/>
        <s v="T5262"/>
        <s v="T5263"/>
        <s v="T5264"/>
        <s v="T5265"/>
        <s v="T5266"/>
        <s v="T5267"/>
        <s v="T5268"/>
        <s v="T5269"/>
        <s v="T5270"/>
        <s v="T5271"/>
        <s v="T5272"/>
        <s v="T5273"/>
        <s v="T5274"/>
        <s v="T5275"/>
        <s v="T5276"/>
        <s v="T5277"/>
        <s v="T5278"/>
        <s v="T5279"/>
        <s v="T5280"/>
        <s v="T5281"/>
        <s v="T5282"/>
        <s v="T5283"/>
        <s v="T5284"/>
        <s v="T5285"/>
        <s v="T5286"/>
        <s v="T5287"/>
        <s v="T5288"/>
        <s v="T5289"/>
        <s v="T5290"/>
        <s v="T5291"/>
        <s v="T5292"/>
        <s v="T5293"/>
        <s v="T5294"/>
        <s v="T5295"/>
        <s v="T5296"/>
        <s v="T5297"/>
        <s v="T5298"/>
        <s v="T5299"/>
        <s v="T5300"/>
        <s v="T5301"/>
        <s v="T5302"/>
        <s v="T5303"/>
        <s v="T5304"/>
        <s v="T5305"/>
        <s v="T5306"/>
        <s v="T5307"/>
        <s v="T5308"/>
        <s v="T5309"/>
        <s v="T5310"/>
        <s v="T5311"/>
        <s v="T5312"/>
        <s v="T5313"/>
        <s v="T5314"/>
        <s v="T5315"/>
        <s v="T5316"/>
        <s v="T5317"/>
        <s v="T5318"/>
        <s v="T5319"/>
        <s v="T5320"/>
        <s v="T5321"/>
        <s v="T5322"/>
        <s v="T5323"/>
        <s v="T5324"/>
        <s v="T5325"/>
        <s v="T5326"/>
        <s v="T5327"/>
        <s v="T5328"/>
        <s v="T5329"/>
        <s v="T5330"/>
        <s v="T5331"/>
        <s v="T5332"/>
        <s v="T5333"/>
        <s v="T5334"/>
        <s v="T5335"/>
        <s v="T5336"/>
        <s v="T5337"/>
        <s v="T5338"/>
        <s v="T5339"/>
        <s v="T5340"/>
        <s v="T5341"/>
        <s v="T5342"/>
        <s v="T5343"/>
        <s v="T5344"/>
        <s v="T5345"/>
        <s v="T5346"/>
        <s v="T5347"/>
        <s v="T5348"/>
        <s v="T5349"/>
        <s v="T5350"/>
        <s v="T5351"/>
        <s v="T5352"/>
        <s v="T5353"/>
        <s v="T5354"/>
        <s v="T5355"/>
        <s v="T5356"/>
        <s v="T5357"/>
        <s v="T5358"/>
        <s v="T5359"/>
        <s v="T5360"/>
        <s v="T5361"/>
        <s v="T5362"/>
        <s v="T5363"/>
        <s v="T5364"/>
        <s v="T5365"/>
        <s v="T5366"/>
        <s v="T5367"/>
        <s v="T5368"/>
        <s v="T5369"/>
        <s v="T5370"/>
        <s v="T5371"/>
        <s v="T5372"/>
        <s v="T5373"/>
        <s v="T5374"/>
        <s v="T5375"/>
        <s v="T5376"/>
        <s v="T5377"/>
        <s v="T5378"/>
        <s v="T5379"/>
        <s v="T5380"/>
        <s v="T5381"/>
        <s v="T5382"/>
        <s v="T5383"/>
        <s v="T5384"/>
        <s v="T5385"/>
        <s v="T5386"/>
        <s v="T5387"/>
        <s v="T5388"/>
        <s v="T5389"/>
        <s v="T5390"/>
        <s v="T5391"/>
        <s v="T5392"/>
        <s v="T5393"/>
        <s v="T5394"/>
        <s v="T5395"/>
        <s v="T5396"/>
        <s v="T5397"/>
        <s v="T5398"/>
        <s v="T5399"/>
        <s v="T5400"/>
        <s v="T5401"/>
        <s v="T5402"/>
        <s v="T5403"/>
        <s v="T5404"/>
        <s v="T5405"/>
        <s v="T5406"/>
        <s v="T5407"/>
        <s v="T5408"/>
        <s v="T5409"/>
        <s v="T5410"/>
        <s v="T5411"/>
        <s v="T5412"/>
        <s v="T5413"/>
        <s v="T5414"/>
        <s v="T5415"/>
        <s v="T5416"/>
        <s v="T5417"/>
        <s v="T5418"/>
        <s v="T5419"/>
        <s v="T5420"/>
        <s v="T5421"/>
        <s v="T5422"/>
        <s v="T5423"/>
        <s v="T5424"/>
        <s v="T5425"/>
        <s v="T5426"/>
        <s v="T5427"/>
        <s v="T5428"/>
        <s v="T5429"/>
        <s v="T5430"/>
        <s v="T5431"/>
        <s v="T5432"/>
        <s v="T5433"/>
        <s v="T5434"/>
        <s v="T5435"/>
        <s v="T5436"/>
        <s v="T5437"/>
        <s v="T5438"/>
        <s v="T5439"/>
        <s v="T5440"/>
        <s v="T5441"/>
        <s v="T5442"/>
        <s v="T5443"/>
        <s v="T5444"/>
        <s v="T5445"/>
        <s v="T5446"/>
        <s v="T5447"/>
        <s v="T5448"/>
        <s v="T5449"/>
        <s v="T5450"/>
        <s v="T5451"/>
        <s v="T5452"/>
        <s v="T5453"/>
        <s v="T5454"/>
        <s v="T5455"/>
        <s v="T5456"/>
        <s v="T5457"/>
        <s v="T5458"/>
        <s v="T5459"/>
        <s v="T5460"/>
        <s v="T5461"/>
        <s v="T5462"/>
        <s v="T5463"/>
        <s v="T5464"/>
        <s v="T5465"/>
        <s v="T5466"/>
        <s v="T5467"/>
        <s v="T5468"/>
        <s v="T5469"/>
        <s v="T5470"/>
        <s v="T5471"/>
        <s v="T5472"/>
        <s v="T5473"/>
        <s v="T5474"/>
        <s v="T5475"/>
        <s v="T5476"/>
        <s v="T5477"/>
        <s v="T5478"/>
        <s v="T5479"/>
        <s v="T5480"/>
        <s v="T5481"/>
        <s v="T5482"/>
        <s v="T5483"/>
        <s v="T5484"/>
        <s v="T5485"/>
        <s v="T5486"/>
        <s v="T5487"/>
        <s v="T5488"/>
        <s v="T5489"/>
        <s v="T5490"/>
        <s v="T5491"/>
        <s v="T5492"/>
        <s v="T5493"/>
        <s v="T5494"/>
        <s v="T5495"/>
        <s v="T5496"/>
        <s v="T5497"/>
        <s v="T5498"/>
        <s v="T5499"/>
        <s v="T5500"/>
      </sharedItems>
    </cacheField>
    <cacheField name="Customer ID" numFmtId="0">
      <sharedItems/>
    </cacheField>
    <cacheField name="Branch ID" numFmtId="0">
      <sharedItems/>
    </cacheField>
    <cacheField name="Transaction Date" numFmtId="14">
      <sharedItems containsSemiMixedTypes="0" containsNonDate="0" containsDate="1" containsString="0" minDate="2026-01-01T00:00:00" maxDate="2026-07-01T00:00:00" count="173">
        <d v="2026-03-13T00:00:00"/>
        <d v="2026-02-20T00:00:00"/>
        <d v="2026-02-09T00:00:00"/>
        <d v="2026-02-12T00:00:00"/>
        <d v="2026-01-14T00:00:00"/>
        <d v="2026-05-02T00:00:00"/>
        <d v="2026-05-05T00:00:00"/>
        <d v="2026-04-08T00:00:00"/>
        <d v="2026-02-01T00:00:00"/>
        <d v="2026-01-20T00:00:00"/>
        <d v="2026-06-11T00:00:00"/>
        <d v="2026-04-03T00:00:00"/>
        <d v="2026-03-22T00:00:00"/>
        <d v="2026-02-27T00:00:00"/>
        <d v="2026-01-22T00:00:00"/>
        <d v="2026-05-04T00:00:00"/>
        <d v="2026-06-27T00:00:00"/>
        <d v="2026-06-10T00:00:00"/>
        <d v="2026-02-08T00:00:00"/>
        <d v="2026-01-23T00:00:00"/>
        <d v="2026-06-19T00:00:00"/>
        <d v="2026-03-10T00:00:00"/>
        <d v="2026-04-10T00:00:00"/>
        <d v="2026-04-12T00:00:00"/>
        <d v="2026-03-17T00:00:00"/>
        <d v="2026-04-23T00:00:00"/>
        <d v="2026-06-12T00:00:00"/>
        <d v="2026-05-20T00:00:00"/>
        <d v="2026-03-06T00:00:00"/>
        <d v="2026-05-27T00:00:00"/>
        <d v="2026-04-19T00:00:00"/>
        <d v="2026-02-06T00:00:00"/>
        <d v="2026-04-15T00:00:00"/>
        <d v="2026-01-01T00:00:00"/>
        <d v="2026-04-04T00:00:00"/>
        <d v="2026-01-08T00:00:00"/>
        <d v="2026-05-13T00:00:00"/>
        <d v="2026-05-29T00:00:00"/>
        <d v="2026-05-10T00:00:00"/>
        <d v="2026-03-31T00:00:00"/>
        <d v="2026-06-17T00:00:00"/>
        <d v="2026-05-31T00:00:00"/>
        <d v="2026-06-05T00:00:00"/>
        <d v="2026-06-16T00:00:00"/>
        <d v="2026-04-14T00:00:00"/>
        <d v="2026-03-21T00:00:00"/>
        <d v="2026-06-18T00:00:00"/>
        <d v="2026-05-08T00:00:00"/>
        <d v="2026-03-04T00:00:00"/>
        <d v="2026-02-05T00:00:00"/>
        <d v="2026-06-28T00:00:00"/>
        <d v="2026-03-25T00:00:00"/>
        <d v="2026-06-15T00:00:00"/>
        <d v="2026-05-26T00:00:00"/>
        <d v="2026-05-14T00:00:00"/>
        <d v="2026-04-13T00:00:00"/>
        <d v="2026-06-23T00:00:00"/>
        <d v="2026-01-27T00:00:00"/>
        <d v="2026-02-16T00:00:00"/>
        <d v="2026-02-04T00:00:00"/>
        <d v="2026-01-26T00:00:00"/>
        <d v="2026-01-25T00:00:00"/>
        <d v="2026-03-01T00:00:00"/>
        <d v="2026-03-27T00:00:00"/>
        <d v="2026-05-25T00:00:00"/>
        <d v="2026-01-30T00:00:00"/>
        <d v="2026-06-09T00:00:00"/>
        <d v="2026-04-21T00:00:00"/>
        <d v="2026-05-23T00:00:00"/>
        <d v="2026-04-02T00:00:00"/>
        <d v="2026-01-28T00:00:00"/>
        <d v="2026-03-23T00:00:00"/>
        <d v="2026-02-15T00:00:00"/>
        <d v="2026-03-30T00:00:00"/>
        <d v="2026-05-21T00:00:00"/>
        <d v="2026-02-11T00:00:00"/>
        <d v="2026-01-18T00:00:00"/>
        <d v="2026-06-02T00:00:00"/>
        <d v="2026-01-03T00:00:00"/>
        <d v="2026-03-20T00:00:00"/>
        <d v="2026-01-06T00:00:00"/>
        <d v="2026-03-28T00:00:00"/>
        <d v="2026-03-07T00:00:00"/>
        <d v="2026-02-19T00:00:00"/>
        <d v="2026-05-22T00:00:00"/>
        <d v="2026-03-14T00:00:00"/>
        <d v="2026-02-25T00:00:00"/>
        <d v="2026-04-28T00:00:00"/>
        <d v="2026-05-11T00:00:00"/>
        <d v="2026-06-25T00:00:00"/>
        <d v="2026-03-02T00:00:00"/>
        <d v="2026-04-29T00:00:00"/>
        <d v="2026-01-10T00:00:00"/>
        <d v="2026-01-05T00:00:00"/>
        <d v="2026-02-13T00:00:00"/>
        <d v="2026-04-18T00:00:00"/>
        <d v="2026-05-07T00:00:00"/>
        <d v="2026-05-01T00:00:00"/>
        <d v="2026-01-17T00:00:00"/>
        <d v="2026-05-15T00:00:00"/>
        <d v="2026-03-16T00:00:00"/>
        <d v="2026-01-31T00:00:00"/>
        <d v="2026-05-19T00:00:00"/>
        <d v="2026-01-24T00:00:00"/>
        <d v="2026-01-19T00:00:00"/>
        <d v="2026-04-26T00:00:00"/>
        <d v="2026-02-17T00:00:00"/>
        <d v="2026-04-07T00:00:00"/>
        <d v="2026-03-05T00:00:00"/>
        <d v="2026-01-04T00:00:00"/>
        <d v="2026-01-13T00:00:00"/>
        <d v="2026-01-02T00:00:00"/>
        <d v="2026-05-03T00:00:00"/>
        <d v="2026-02-22T00:00:00"/>
        <d v="2026-02-10T00:00:00"/>
        <d v="2026-02-26T00:00:00"/>
        <d v="2026-03-08T00:00:00"/>
        <d v="2026-06-01T00:00:00"/>
        <d v="2026-04-01T00:00:00"/>
        <d v="2026-06-22T00:00:00"/>
        <d v="2026-05-17T00:00:00"/>
        <d v="2026-03-09T00:00:00"/>
        <d v="2026-06-04T00:00:00"/>
        <d v="2026-01-11T00:00:00"/>
        <d v="2026-04-06T00:00:00"/>
        <d v="2026-06-14T00:00:00"/>
        <d v="2026-02-23T00:00:00"/>
        <d v="2026-06-03T00:00:00"/>
        <d v="2026-06-20T00:00:00"/>
        <d v="2026-06-06T00:00:00"/>
        <d v="2026-02-28T00:00:00"/>
        <d v="2026-04-17T00:00:00"/>
        <d v="2026-05-06T00:00:00"/>
        <d v="2026-01-15T00:00:00"/>
        <d v="2026-02-14T00:00:00"/>
        <d v="2026-05-30T00:00:00"/>
        <d v="2026-05-18T00:00:00"/>
        <d v="2026-04-05T00:00:00"/>
        <d v="2026-04-22T00:00:00"/>
        <d v="2026-06-21T00:00:00"/>
        <d v="2026-01-16T00:00:00"/>
        <d v="2026-03-29T00:00:00"/>
        <d v="2026-06-13T00:00:00"/>
        <d v="2026-02-21T00:00:00"/>
        <d v="2026-03-03T00:00:00"/>
        <d v="2026-02-07T00:00:00"/>
        <d v="2026-04-25T00:00:00"/>
        <d v="2026-02-03T00:00:00"/>
        <d v="2026-04-11T00:00:00"/>
        <d v="2026-02-02T00:00:00"/>
        <d v="2026-01-09T00:00:00"/>
        <d v="2026-06-08T00:00:00"/>
        <d v="2026-05-09T00:00:00"/>
        <d v="2026-01-07T00:00:00"/>
        <d v="2026-05-28T00:00:00"/>
        <d v="2026-03-12T00:00:00"/>
        <d v="2026-04-20T00:00:00"/>
        <d v="2026-04-24T00:00:00"/>
        <d v="2026-04-30T00:00:00"/>
        <d v="2026-06-29T00:00:00"/>
        <d v="2026-05-24T00:00:00"/>
        <d v="2026-06-30T00:00:00"/>
        <d v="2026-01-12T00:00:00"/>
        <d v="2026-04-16T00:00:00"/>
        <d v="2026-03-18T00:00:00"/>
        <d v="2026-03-19T00:00:00"/>
        <d v="2026-05-12T00:00:00"/>
        <d v="2026-04-09T00:00:00"/>
        <d v="2026-01-29T00:00:00"/>
        <d v="2026-06-26T00:00:00"/>
        <d v="2026-02-18T00:00:00"/>
        <d v="2026-01-21T00:00:00"/>
        <d v="2026-02-24T00:00:00"/>
      </sharedItems>
      <fieldGroup par="7"/>
    </cacheField>
    <cacheField name="Transaction Type" numFmtId="0">
      <sharedItems count="2">
        <s v="Deposit"/>
        <s v="Withdrawal"/>
      </sharedItems>
    </cacheField>
    <cacheField name="Amount" numFmtId="0">
      <sharedItems containsSemiMixedTypes="0" containsString="0" containsNumber="1" containsInteger="1" minValue="1000" maxValue="50000" count="50">
        <n v="17000"/>
        <n v="21000"/>
        <n v="26000"/>
        <n v="22000"/>
        <n v="16000"/>
        <n v="50000"/>
        <n v="49000"/>
        <n v="30000"/>
        <n v="39000"/>
        <n v="11000"/>
        <n v="37000"/>
        <n v="12000"/>
        <n v="42000"/>
        <n v="2000"/>
        <n v="35000"/>
        <n v="33000"/>
        <n v="5000"/>
        <n v="13000"/>
        <n v="34000"/>
        <n v="29000"/>
        <n v="45000"/>
        <n v="25000"/>
        <n v="36000"/>
        <n v="48000"/>
        <n v="3000"/>
        <n v="47000"/>
        <n v="19000"/>
        <n v="31000"/>
        <n v="8000"/>
        <n v="32000"/>
        <n v="38000"/>
        <n v="14000"/>
        <n v="40000"/>
        <n v="24000"/>
        <n v="7000"/>
        <n v="41000"/>
        <n v="27000"/>
        <n v="6000"/>
        <n v="15000"/>
        <n v="4000"/>
        <n v="1000"/>
        <n v="9000"/>
        <n v="46000"/>
        <n v="10000"/>
        <n v="44000"/>
        <n v="20000"/>
        <n v="18000"/>
        <n v="43000"/>
        <n v="23000"/>
        <n v="28000"/>
      </sharedItems>
    </cacheField>
    <cacheField name="Days (Transaction Date)" numFmtId="0" databaseField="0">
      <fieldGroup base="3">
        <rangePr groupBy="days" startDate="2026-01-01T00:00:00" endDate="2026-07-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6"/>
        </groupItems>
      </fieldGroup>
    </cacheField>
    <cacheField name="Months (Transaction Date)" numFmtId="0" databaseField="0">
      <fieldGroup base="3">
        <rangePr groupBy="months" startDate="2026-01-01T00:00:00" endDate="2026-07-01T00:00:00"/>
        <groupItems count="14">
          <s v="&lt;01-01-2026"/>
          <s v="Jan"/>
          <s v="Feb"/>
          <s v="Mar"/>
          <s v="Apr"/>
          <s v="May"/>
          <s v="Jun"/>
          <s v="Jul"/>
          <s v="Aug"/>
          <s v="Sep"/>
          <s v="Oct"/>
          <s v="Nov"/>
          <s v="Dec"/>
          <s v="&gt;01-07-2026"/>
        </groupItems>
      </fieldGroup>
    </cacheField>
  </cacheFields>
  <extLst>
    <ext xmlns:x14="http://schemas.microsoft.com/office/spreadsheetml/2009/9/main" uri="{725AE2AE-9491-48be-B2B4-4EB974FC3084}">
      <x14:pivotCacheDefinition pivotCacheId="70304073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vani" refreshedDate="46276.751206134257" createdVersion="8" refreshedVersion="8" minRefreshableVersion="3" recordCount="10" xr:uid="{5FC3AC05-918D-4B64-9691-AEAD5E7E6388}">
  <cacheSource type="worksheet">
    <worksheetSource name="Table4"/>
  </cacheSource>
  <cacheFields count="4">
    <cacheField name="Branch ID" numFmtId="0">
      <sharedItems count="10">
        <s v="B001"/>
        <s v="B002"/>
        <s v="B003"/>
        <s v="B004"/>
        <s v="B005"/>
        <s v="B006"/>
        <s v="B007"/>
        <s v="B008"/>
        <s v="B009"/>
        <s v="B010"/>
      </sharedItems>
    </cacheField>
    <cacheField name="Branch Name" numFmtId="0">
      <sharedItems count="10">
        <s v="Branch1"/>
        <s v="Branch2"/>
        <s v="Branch3"/>
        <s v="Branch4"/>
        <s v="Branch5"/>
        <s v="Branch6"/>
        <s v="Branch7"/>
        <s v="Branch8"/>
        <s v="Branch9"/>
        <s v="Branch10"/>
      </sharedItems>
    </cacheField>
    <cacheField name="Region" numFmtId="0">
      <sharedItems count="4">
        <s v="East"/>
        <s v="West"/>
        <s v="South"/>
        <s v="North"/>
      </sharedItems>
    </cacheField>
    <cacheField name="Target Deposit Goal" numFmtId="0">
      <sharedItems containsSemiMixedTypes="0" containsString="0" containsNumber="1" containsInteger="1" minValue="121000000" maxValue="499000000" count="10">
        <n v="208000000"/>
        <n v="239000000"/>
        <n v="202000000"/>
        <n v="232000000"/>
        <n v="350000000"/>
        <n v="244000000"/>
        <n v="499000000"/>
        <n v="254000000"/>
        <n v="331000000"/>
        <n v="121000000"/>
      </sharedItems>
    </cacheField>
  </cacheFields>
  <extLst>
    <ext xmlns:x14="http://schemas.microsoft.com/office/spreadsheetml/2009/9/main" uri="{725AE2AE-9491-48be-B2B4-4EB974FC3084}">
      <x14:pivotCacheDefinition pivotCacheId="21267909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x v="0"/>
  </r>
  <r>
    <x v="1"/>
    <x v="1"/>
    <x v="1"/>
    <x v="0"/>
    <x v="1"/>
    <x v="1"/>
    <x v="1"/>
  </r>
  <r>
    <x v="2"/>
    <x v="2"/>
    <x v="2"/>
    <x v="0"/>
    <x v="2"/>
    <x v="2"/>
    <x v="0"/>
  </r>
  <r>
    <x v="3"/>
    <x v="3"/>
    <x v="3"/>
    <x v="0"/>
    <x v="1"/>
    <x v="3"/>
    <x v="0"/>
  </r>
  <r>
    <x v="4"/>
    <x v="4"/>
    <x v="4"/>
    <x v="0"/>
    <x v="0"/>
    <x v="4"/>
    <x v="2"/>
  </r>
  <r>
    <x v="5"/>
    <x v="5"/>
    <x v="5"/>
    <x v="1"/>
    <x v="0"/>
    <x v="5"/>
    <x v="1"/>
  </r>
  <r>
    <x v="6"/>
    <x v="6"/>
    <x v="6"/>
    <x v="1"/>
    <x v="2"/>
    <x v="6"/>
    <x v="1"/>
  </r>
  <r>
    <x v="7"/>
    <x v="7"/>
    <x v="7"/>
    <x v="0"/>
    <x v="0"/>
    <x v="7"/>
    <x v="0"/>
  </r>
  <r>
    <x v="8"/>
    <x v="8"/>
    <x v="8"/>
    <x v="1"/>
    <x v="2"/>
    <x v="8"/>
    <x v="3"/>
  </r>
  <r>
    <x v="9"/>
    <x v="9"/>
    <x v="9"/>
    <x v="0"/>
    <x v="2"/>
    <x v="9"/>
    <x v="1"/>
  </r>
  <r>
    <x v="10"/>
    <x v="10"/>
    <x v="10"/>
    <x v="1"/>
    <x v="0"/>
    <x v="10"/>
    <x v="1"/>
  </r>
  <r>
    <x v="11"/>
    <x v="11"/>
    <x v="11"/>
    <x v="1"/>
    <x v="0"/>
    <x v="11"/>
    <x v="1"/>
  </r>
  <r>
    <x v="12"/>
    <x v="12"/>
    <x v="12"/>
    <x v="0"/>
    <x v="2"/>
    <x v="12"/>
    <x v="1"/>
  </r>
  <r>
    <x v="13"/>
    <x v="13"/>
    <x v="13"/>
    <x v="0"/>
    <x v="1"/>
    <x v="13"/>
    <x v="2"/>
  </r>
  <r>
    <x v="14"/>
    <x v="14"/>
    <x v="9"/>
    <x v="0"/>
    <x v="1"/>
    <x v="14"/>
    <x v="0"/>
  </r>
  <r>
    <x v="15"/>
    <x v="15"/>
    <x v="14"/>
    <x v="1"/>
    <x v="0"/>
    <x v="4"/>
    <x v="2"/>
  </r>
  <r>
    <x v="16"/>
    <x v="16"/>
    <x v="15"/>
    <x v="1"/>
    <x v="0"/>
    <x v="15"/>
    <x v="1"/>
  </r>
  <r>
    <x v="17"/>
    <x v="17"/>
    <x v="2"/>
    <x v="0"/>
    <x v="1"/>
    <x v="16"/>
    <x v="0"/>
  </r>
  <r>
    <x v="18"/>
    <x v="18"/>
    <x v="8"/>
    <x v="0"/>
    <x v="1"/>
    <x v="17"/>
    <x v="0"/>
  </r>
  <r>
    <x v="19"/>
    <x v="19"/>
    <x v="10"/>
    <x v="1"/>
    <x v="1"/>
    <x v="18"/>
    <x v="3"/>
  </r>
  <r>
    <x v="20"/>
    <x v="20"/>
    <x v="16"/>
    <x v="1"/>
    <x v="0"/>
    <x v="19"/>
    <x v="3"/>
  </r>
  <r>
    <x v="21"/>
    <x v="21"/>
    <x v="17"/>
    <x v="0"/>
    <x v="0"/>
    <x v="20"/>
    <x v="1"/>
  </r>
  <r>
    <x v="22"/>
    <x v="22"/>
    <x v="18"/>
    <x v="1"/>
    <x v="0"/>
    <x v="21"/>
    <x v="2"/>
  </r>
  <r>
    <x v="23"/>
    <x v="23"/>
    <x v="19"/>
    <x v="1"/>
    <x v="0"/>
    <x v="19"/>
    <x v="3"/>
  </r>
  <r>
    <x v="24"/>
    <x v="24"/>
    <x v="0"/>
    <x v="1"/>
    <x v="1"/>
    <x v="22"/>
    <x v="1"/>
  </r>
  <r>
    <x v="25"/>
    <x v="25"/>
    <x v="8"/>
    <x v="1"/>
    <x v="2"/>
    <x v="23"/>
    <x v="0"/>
  </r>
  <r>
    <x v="26"/>
    <x v="26"/>
    <x v="20"/>
    <x v="1"/>
    <x v="2"/>
    <x v="24"/>
    <x v="0"/>
  </r>
  <r>
    <x v="27"/>
    <x v="27"/>
    <x v="21"/>
    <x v="1"/>
    <x v="0"/>
    <x v="25"/>
    <x v="0"/>
  </r>
  <r>
    <x v="28"/>
    <x v="28"/>
    <x v="7"/>
    <x v="1"/>
    <x v="2"/>
    <x v="26"/>
    <x v="1"/>
  </r>
  <r>
    <x v="29"/>
    <x v="29"/>
    <x v="22"/>
    <x v="1"/>
    <x v="1"/>
    <x v="27"/>
    <x v="0"/>
  </r>
  <r>
    <x v="30"/>
    <x v="30"/>
    <x v="0"/>
    <x v="1"/>
    <x v="0"/>
    <x v="20"/>
    <x v="1"/>
  </r>
  <r>
    <x v="31"/>
    <x v="31"/>
    <x v="23"/>
    <x v="0"/>
    <x v="1"/>
    <x v="28"/>
    <x v="1"/>
  </r>
  <r>
    <x v="32"/>
    <x v="32"/>
    <x v="5"/>
    <x v="1"/>
    <x v="2"/>
    <x v="29"/>
    <x v="0"/>
  </r>
  <r>
    <x v="33"/>
    <x v="33"/>
    <x v="21"/>
    <x v="1"/>
    <x v="2"/>
    <x v="30"/>
    <x v="1"/>
  </r>
  <r>
    <x v="34"/>
    <x v="34"/>
    <x v="12"/>
    <x v="0"/>
    <x v="1"/>
    <x v="31"/>
    <x v="2"/>
  </r>
  <r>
    <x v="35"/>
    <x v="35"/>
    <x v="24"/>
    <x v="1"/>
    <x v="2"/>
    <x v="32"/>
    <x v="3"/>
  </r>
  <r>
    <x v="36"/>
    <x v="36"/>
    <x v="25"/>
    <x v="0"/>
    <x v="2"/>
    <x v="33"/>
    <x v="2"/>
  </r>
  <r>
    <x v="37"/>
    <x v="37"/>
    <x v="26"/>
    <x v="1"/>
    <x v="0"/>
    <x v="34"/>
    <x v="1"/>
  </r>
  <r>
    <x v="38"/>
    <x v="38"/>
    <x v="27"/>
    <x v="0"/>
    <x v="1"/>
    <x v="35"/>
    <x v="1"/>
  </r>
  <r>
    <x v="39"/>
    <x v="39"/>
    <x v="13"/>
    <x v="0"/>
    <x v="2"/>
    <x v="36"/>
    <x v="1"/>
  </r>
  <r>
    <x v="40"/>
    <x v="40"/>
    <x v="28"/>
    <x v="0"/>
    <x v="2"/>
    <x v="37"/>
    <x v="1"/>
  </r>
  <r>
    <x v="41"/>
    <x v="41"/>
    <x v="12"/>
    <x v="0"/>
    <x v="1"/>
    <x v="38"/>
    <x v="1"/>
  </r>
  <r>
    <x v="42"/>
    <x v="42"/>
    <x v="29"/>
    <x v="1"/>
    <x v="0"/>
    <x v="39"/>
    <x v="2"/>
  </r>
  <r>
    <x v="43"/>
    <x v="43"/>
    <x v="30"/>
    <x v="1"/>
    <x v="0"/>
    <x v="40"/>
    <x v="1"/>
  </r>
  <r>
    <x v="44"/>
    <x v="44"/>
    <x v="10"/>
    <x v="0"/>
    <x v="1"/>
    <x v="14"/>
    <x v="0"/>
  </r>
  <r>
    <x v="45"/>
    <x v="45"/>
    <x v="11"/>
    <x v="0"/>
    <x v="0"/>
    <x v="3"/>
    <x v="0"/>
  </r>
  <r>
    <x v="46"/>
    <x v="46"/>
    <x v="13"/>
    <x v="1"/>
    <x v="1"/>
    <x v="41"/>
    <x v="0"/>
  </r>
  <r>
    <x v="47"/>
    <x v="47"/>
    <x v="7"/>
    <x v="0"/>
    <x v="0"/>
    <x v="42"/>
    <x v="1"/>
  </r>
  <r>
    <x v="48"/>
    <x v="48"/>
    <x v="31"/>
    <x v="0"/>
    <x v="1"/>
    <x v="43"/>
    <x v="0"/>
  </r>
  <r>
    <x v="49"/>
    <x v="49"/>
    <x v="32"/>
    <x v="1"/>
    <x v="2"/>
    <x v="44"/>
    <x v="3"/>
  </r>
  <r>
    <x v="50"/>
    <x v="50"/>
    <x v="9"/>
    <x v="0"/>
    <x v="2"/>
    <x v="45"/>
    <x v="3"/>
  </r>
  <r>
    <x v="51"/>
    <x v="51"/>
    <x v="16"/>
    <x v="0"/>
    <x v="1"/>
    <x v="14"/>
    <x v="0"/>
  </r>
  <r>
    <x v="52"/>
    <x v="52"/>
    <x v="22"/>
    <x v="0"/>
    <x v="2"/>
    <x v="46"/>
    <x v="2"/>
  </r>
  <r>
    <x v="53"/>
    <x v="53"/>
    <x v="33"/>
    <x v="1"/>
    <x v="0"/>
    <x v="47"/>
    <x v="0"/>
  </r>
  <r>
    <x v="54"/>
    <x v="54"/>
    <x v="20"/>
    <x v="1"/>
    <x v="0"/>
    <x v="48"/>
    <x v="1"/>
  </r>
  <r>
    <x v="55"/>
    <x v="55"/>
    <x v="3"/>
    <x v="1"/>
    <x v="1"/>
    <x v="21"/>
    <x v="2"/>
  </r>
  <r>
    <x v="56"/>
    <x v="56"/>
    <x v="3"/>
    <x v="0"/>
    <x v="1"/>
    <x v="49"/>
    <x v="2"/>
  </r>
  <r>
    <x v="57"/>
    <x v="57"/>
    <x v="2"/>
    <x v="0"/>
    <x v="1"/>
    <x v="50"/>
    <x v="0"/>
  </r>
  <r>
    <x v="58"/>
    <x v="58"/>
    <x v="25"/>
    <x v="0"/>
    <x v="0"/>
    <x v="51"/>
    <x v="1"/>
  </r>
  <r>
    <x v="59"/>
    <x v="59"/>
    <x v="34"/>
    <x v="0"/>
    <x v="2"/>
    <x v="52"/>
    <x v="1"/>
  </r>
  <r>
    <x v="60"/>
    <x v="60"/>
    <x v="29"/>
    <x v="1"/>
    <x v="2"/>
    <x v="53"/>
    <x v="1"/>
  </r>
  <r>
    <x v="61"/>
    <x v="61"/>
    <x v="11"/>
    <x v="1"/>
    <x v="0"/>
    <x v="54"/>
    <x v="2"/>
  </r>
  <r>
    <x v="62"/>
    <x v="62"/>
    <x v="35"/>
    <x v="0"/>
    <x v="1"/>
    <x v="55"/>
    <x v="2"/>
  </r>
  <r>
    <x v="63"/>
    <x v="63"/>
    <x v="17"/>
    <x v="0"/>
    <x v="2"/>
    <x v="56"/>
    <x v="1"/>
  </r>
  <r>
    <x v="64"/>
    <x v="64"/>
    <x v="10"/>
    <x v="1"/>
    <x v="0"/>
    <x v="57"/>
    <x v="1"/>
  </r>
  <r>
    <x v="65"/>
    <x v="65"/>
    <x v="15"/>
    <x v="0"/>
    <x v="0"/>
    <x v="58"/>
    <x v="2"/>
  </r>
  <r>
    <x v="66"/>
    <x v="66"/>
    <x v="27"/>
    <x v="0"/>
    <x v="0"/>
    <x v="59"/>
    <x v="3"/>
  </r>
  <r>
    <x v="67"/>
    <x v="67"/>
    <x v="33"/>
    <x v="0"/>
    <x v="0"/>
    <x v="60"/>
    <x v="2"/>
  </r>
  <r>
    <x v="68"/>
    <x v="68"/>
    <x v="5"/>
    <x v="1"/>
    <x v="2"/>
    <x v="61"/>
    <x v="0"/>
  </r>
  <r>
    <x v="69"/>
    <x v="69"/>
    <x v="9"/>
    <x v="0"/>
    <x v="0"/>
    <x v="62"/>
    <x v="2"/>
  </r>
  <r>
    <x v="70"/>
    <x v="70"/>
    <x v="33"/>
    <x v="1"/>
    <x v="1"/>
    <x v="63"/>
    <x v="2"/>
  </r>
  <r>
    <x v="71"/>
    <x v="71"/>
    <x v="28"/>
    <x v="0"/>
    <x v="1"/>
    <x v="64"/>
    <x v="1"/>
  </r>
  <r>
    <x v="72"/>
    <x v="72"/>
    <x v="24"/>
    <x v="0"/>
    <x v="1"/>
    <x v="65"/>
    <x v="3"/>
  </r>
  <r>
    <x v="73"/>
    <x v="73"/>
    <x v="34"/>
    <x v="1"/>
    <x v="2"/>
    <x v="66"/>
    <x v="0"/>
  </r>
  <r>
    <x v="74"/>
    <x v="74"/>
    <x v="36"/>
    <x v="1"/>
    <x v="2"/>
    <x v="67"/>
    <x v="1"/>
  </r>
  <r>
    <x v="75"/>
    <x v="75"/>
    <x v="6"/>
    <x v="0"/>
    <x v="2"/>
    <x v="68"/>
    <x v="2"/>
  </r>
  <r>
    <x v="76"/>
    <x v="76"/>
    <x v="1"/>
    <x v="0"/>
    <x v="1"/>
    <x v="66"/>
    <x v="0"/>
  </r>
  <r>
    <x v="77"/>
    <x v="77"/>
    <x v="5"/>
    <x v="0"/>
    <x v="0"/>
    <x v="2"/>
    <x v="0"/>
  </r>
  <r>
    <x v="78"/>
    <x v="78"/>
    <x v="37"/>
    <x v="0"/>
    <x v="0"/>
    <x v="69"/>
    <x v="1"/>
  </r>
  <r>
    <x v="79"/>
    <x v="79"/>
    <x v="25"/>
    <x v="0"/>
    <x v="1"/>
    <x v="70"/>
    <x v="2"/>
  </r>
  <r>
    <x v="80"/>
    <x v="80"/>
    <x v="38"/>
    <x v="0"/>
    <x v="2"/>
    <x v="71"/>
    <x v="2"/>
  </r>
  <r>
    <x v="81"/>
    <x v="81"/>
    <x v="24"/>
    <x v="0"/>
    <x v="2"/>
    <x v="72"/>
    <x v="1"/>
  </r>
  <r>
    <x v="82"/>
    <x v="82"/>
    <x v="39"/>
    <x v="0"/>
    <x v="0"/>
    <x v="73"/>
    <x v="1"/>
  </r>
  <r>
    <x v="83"/>
    <x v="83"/>
    <x v="10"/>
    <x v="1"/>
    <x v="1"/>
    <x v="74"/>
    <x v="2"/>
  </r>
  <r>
    <x v="84"/>
    <x v="84"/>
    <x v="35"/>
    <x v="1"/>
    <x v="1"/>
    <x v="75"/>
    <x v="2"/>
  </r>
  <r>
    <x v="85"/>
    <x v="85"/>
    <x v="37"/>
    <x v="0"/>
    <x v="2"/>
    <x v="26"/>
    <x v="1"/>
  </r>
  <r>
    <x v="86"/>
    <x v="86"/>
    <x v="10"/>
    <x v="0"/>
    <x v="1"/>
    <x v="6"/>
    <x v="1"/>
  </r>
  <r>
    <x v="87"/>
    <x v="87"/>
    <x v="23"/>
    <x v="1"/>
    <x v="0"/>
    <x v="29"/>
    <x v="0"/>
  </r>
  <r>
    <x v="88"/>
    <x v="88"/>
    <x v="18"/>
    <x v="1"/>
    <x v="0"/>
    <x v="76"/>
    <x v="3"/>
  </r>
  <r>
    <x v="89"/>
    <x v="89"/>
    <x v="24"/>
    <x v="1"/>
    <x v="2"/>
    <x v="77"/>
    <x v="1"/>
  </r>
  <r>
    <x v="90"/>
    <x v="90"/>
    <x v="40"/>
    <x v="1"/>
    <x v="1"/>
    <x v="78"/>
    <x v="2"/>
  </r>
  <r>
    <x v="91"/>
    <x v="91"/>
    <x v="14"/>
    <x v="0"/>
    <x v="2"/>
    <x v="79"/>
    <x v="1"/>
  </r>
  <r>
    <x v="92"/>
    <x v="92"/>
    <x v="5"/>
    <x v="1"/>
    <x v="0"/>
    <x v="59"/>
    <x v="3"/>
  </r>
  <r>
    <x v="93"/>
    <x v="93"/>
    <x v="31"/>
    <x v="0"/>
    <x v="0"/>
    <x v="80"/>
    <x v="0"/>
  </r>
  <r>
    <x v="94"/>
    <x v="94"/>
    <x v="39"/>
    <x v="0"/>
    <x v="1"/>
    <x v="81"/>
    <x v="1"/>
  </r>
  <r>
    <x v="95"/>
    <x v="95"/>
    <x v="5"/>
    <x v="1"/>
    <x v="0"/>
    <x v="82"/>
    <x v="1"/>
  </r>
  <r>
    <x v="96"/>
    <x v="96"/>
    <x v="41"/>
    <x v="1"/>
    <x v="0"/>
    <x v="83"/>
    <x v="1"/>
  </r>
  <r>
    <x v="97"/>
    <x v="97"/>
    <x v="17"/>
    <x v="1"/>
    <x v="1"/>
    <x v="84"/>
    <x v="0"/>
  </r>
  <r>
    <x v="98"/>
    <x v="98"/>
    <x v="9"/>
    <x v="1"/>
    <x v="1"/>
    <x v="85"/>
    <x v="0"/>
  </r>
  <r>
    <x v="99"/>
    <x v="99"/>
    <x v="38"/>
    <x v="0"/>
    <x v="2"/>
    <x v="44"/>
    <x v="3"/>
  </r>
  <r>
    <x v="100"/>
    <x v="100"/>
    <x v="25"/>
    <x v="0"/>
    <x v="1"/>
    <x v="55"/>
    <x v="2"/>
  </r>
  <r>
    <x v="101"/>
    <x v="101"/>
    <x v="25"/>
    <x v="0"/>
    <x v="1"/>
    <x v="7"/>
    <x v="0"/>
  </r>
  <r>
    <x v="102"/>
    <x v="102"/>
    <x v="31"/>
    <x v="1"/>
    <x v="2"/>
    <x v="86"/>
    <x v="3"/>
  </r>
  <r>
    <x v="103"/>
    <x v="103"/>
    <x v="7"/>
    <x v="0"/>
    <x v="0"/>
    <x v="87"/>
    <x v="1"/>
  </r>
  <r>
    <x v="104"/>
    <x v="104"/>
    <x v="15"/>
    <x v="0"/>
    <x v="2"/>
    <x v="88"/>
    <x v="0"/>
  </r>
  <r>
    <x v="105"/>
    <x v="105"/>
    <x v="2"/>
    <x v="0"/>
    <x v="1"/>
    <x v="47"/>
    <x v="0"/>
  </r>
  <r>
    <x v="106"/>
    <x v="106"/>
    <x v="19"/>
    <x v="1"/>
    <x v="1"/>
    <x v="89"/>
    <x v="3"/>
  </r>
  <r>
    <x v="107"/>
    <x v="107"/>
    <x v="29"/>
    <x v="0"/>
    <x v="0"/>
    <x v="52"/>
    <x v="1"/>
  </r>
  <r>
    <x v="108"/>
    <x v="108"/>
    <x v="36"/>
    <x v="1"/>
    <x v="0"/>
    <x v="62"/>
    <x v="2"/>
  </r>
  <r>
    <x v="109"/>
    <x v="109"/>
    <x v="27"/>
    <x v="1"/>
    <x v="1"/>
    <x v="69"/>
    <x v="1"/>
  </r>
  <r>
    <x v="110"/>
    <x v="110"/>
    <x v="3"/>
    <x v="1"/>
    <x v="0"/>
    <x v="4"/>
    <x v="2"/>
  </r>
  <r>
    <x v="111"/>
    <x v="111"/>
    <x v="17"/>
    <x v="1"/>
    <x v="2"/>
    <x v="90"/>
    <x v="0"/>
  </r>
  <r>
    <x v="112"/>
    <x v="112"/>
    <x v="16"/>
    <x v="1"/>
    <x v="0"/>
    <x v="91"/>
    <x v="1"/>
  </r>
  <r>
    <x v="113"/>
    <x v="113"/>
    <x v="18"/>
    <x v="0"/>
    <x v="2"/>
    <x v="92"/>
    <x v="0"/>
  </r>
  <r>
    <x v="114"/>
    <x v="114"/>
    <x v="11"/>
    <x v="1"/>
    <x v="0"/>
    <x v="11"/>
    <x v="1"/>
  </r>
  <r>
    <x v="115"/>
    <x v="115"/>
    <x v="18"/>
    <x v="0"/>
    <x v="2"/>
    <x v="85"/>
    <x v="0"/>
  </r>
  <r>
    <x v="116"/>
    <x v="116"/>
    <x v="18"/>
    <x v="1"/>
    <x v="2"/>
    <x v="67"/>
    <x v="1"/>
  </r>
  <r>
    <x v="117"/>
    <x v="117"/>
    <x v="25"/>
    <x v="0"/>
    <x v="2"/>
    <x v="45"/>
    <x v="3"/>
  </r>
  <r>
    <x v="118"/>
    <x v="118"/>
    <x v="6"/>
    <x v="0"/>
    <x v="2"/>
    <x v="33"/>
    <x v="2"/>
  </r>
  <r>
    <x v="119"/>
    <x v="119"/>
    <x v="11"/>
    <x v="0"/>
    <x v="0"/>
    <x v="93"/>
    <x v="1"/>
  </r>
  <r>
    <x v="120"/>
    <x v="120"/>
    <x v="32"/>
    <x v="0"/>
    <x v="0"/>
    <x v="94"/>
    <x v="0"/>
  </r>
  <r>
    <x v="121"/>
    <x v="121"/>
    <x v="42"/>
    <x v="1"/>
    <x v="0"/>
    <x v="65"/>
    <x v="3"/>
  </r>
  <r>
    <x v="122"/>
    <x v="122"/>
    <x v="37"/>
    <x v="0"/>
    <x v="0"/>
    <x v="95"/>
    <x v="1"/>
  </r>
  <r>
    <x v="123"/>
    <x v="123"/>
    <x v="43"/>
    <x v="1"/>
    <x v="2"/>
    <x v="96"/>
    <x v="0"/>
  </r>
  <r>
    <x v="124"/>
    <x v="124"/>
    <x v="0"/>
    <x v="1"/>
    <x v="0"/>
    <x v="97"/>
    <x v="0"/>
  </r>
  <r>
    <x v="125"/>
    <x v="125"/>
    <x v="4"/>
    <x v="0"/>
    <x v="2"/>
    <x v="32"/>
    <x v="3"/>
  </r>
  <r>
    <x v="126"/>
    <x v="126"/>
    <x v="20"/>
    <x v="1"/>
    <x v="0"/>
    <x v="98"/>
    <x v="2"/>
  </r>
  <r>
    <x v="127"/>
    <x v="127"/>
    <x v="29"/>
    <x v="0"/>
    <x v="1"/>
    <x v="99"/>
    <x v="2"/>
  </r>
  <r>
    <x v="128"/>
    <x v="128"/>
    <x v="40"/>
    <x v="0"/>
    <x v="2"/>
    <x v="100"/>
    <x v="0"/>
  </r>
  <r>
    <x v="129"/>
    <x v="129"/>
    <x v="34"/>
    <x v="0"/>
    <x v="1"/>
    <x v="101"/>
    <x v="0"/>
  </r>
  <r>
    <x v="130"/>
    <x v="130"/>
    <x v="16"/>
    <x v="0"/>
    <x v="0"/>
    <x v="102"/>
    <x v="0"/>
  </r>
  <r>
    <x v="131"/>
    <x v="131"/>
    <x v="3"/>
    <x v="1"/>
    <x v="0"/>
    <x v="103"/>
    <x v="1"/>
  </r>
  <r>
    <x v="132"/>
    <x v="132"/>
    <x v="16"/>
    <x v="1"/>
    <x v="0"/>
    <x v="104"/>
    <x v="2"/>
  </r>
  <r>
    <x v="133"/>
    <x v="133"/>
    <x v="26"/>
    <x v="0"/>
    <x v="1"/>
    <x v="75"/>
    <x v="2"/>
  </r>
  <r>
    <x v="134"/>
    <x v="134"/>
    <x v="12"/>
    <x v="0"/>
    <x v="2"/>
    <x v="105"/>
    <x v="1"/>
  </r>
  <r>
    <x v="135"/>
    <x v="135"/>
    <x v="26"/>
    <x v="1"/>
    <x v="0"/>
    <x v="106"/>
    <x v="2"/>
  </r>
  <r>
    <x v="136"/>
    <x v="136"/>
    <x v="7"/>
    <x v="0"/>
    <x v="0"/>
    <x v="107"/>
    <x v="3"/>
  </r>
  <r>
    <x v="137"/>
    <x v="137"/>
    <x v="4"/>
    <x v="1"/>
    <x v="2"/>
    <x v="108"/>
    <x v="3"/>
  </r>
  <r>
    <x v="138"/>
    <x v="138"/>
    <x v="19"/>
    <x v="1"/>
    <x v="2"/>
    <x v="38"/>
    <x v="1"/>
  </r>
  <r>
    <x v="139"/>
    <x v="139"/>
    <x v="29"/>
    <x v="0"/>
    <x v="1"/>
    <x v="109"/>
    <x v="0"/>
  </r>
  <r>
    <x v="140"/>
    <x v="140"/>
    <x v="25"/>
    <x v="0"/>
    <x v="1"/>
    <x v="110"/>
    <x v="1"/>
  </r>
  <r>
    <x v="141"/>
    <x v="141"/>
    <x v="12"/>
    <x v="0"/>
    <x v="2"/>
    <x v="111"/>
    <x v="3"/>
  </r>
  <r>
    <x v="142"/>
    <x v="142"/>
    <x v="35"/>
    <x v="0"/>
    <x v="1"/>
    <x v="112"/>
    <x v="1"/>
  </r>
  <r>
    <x v="143"/>
    <x v="143"/>
    <x v="23"/>
    <x v="1"/>
    <x v="1"/>
    <x v="14"/>
    <x v="0"/>
  </r>
  <r>
    <x v="144"/>
    <x v="144"/>
    <x v="40"/>
    <x v="0"/>
    <x v="1"/>
    <x v="113"/>
    <x v="0"/>
  </r>
  <r>
    <x v="145"/>
    <x v="145"/>
    <x v="35"/>
    <x v="0"/>
    <x v="1"/>
    <x v="114"/>
    <x v="3"/>
  </r>
  <r>
    <x v="146"/>
    <x v="146"/>
    <x v="36"/>
    <x v="0"/>
    <x v="2"/>
    <x v="48"/>
    <x v="1"/>
  </r>
  <r>
    <x v="147"/>
    <x v="147"/>
    <x v="36"/>
    <x v="0"/>
    <x v="1"/>
    <x v="6"/>
    <x v="1"/>
  </r>
  <r>
    <x v="148"/>
    <x v="148"/>
    <x v="39"/>
    <x v="1"/>
    <x v="1"/>
    <x v="89"/>
    <x v="3"/>
  </r>
  <r>
    <x v="149"/>
    <x v="149"/>
    <x v="22"/>
    <x v="0"/>
    <x v="0"/>
    <x v="115"/>
    <x v="0"/>
  </r>
  <r>
    <x v="150"/>
    <x v="150"/>
    <x v="18"/>
    <x v="1"/>
    <x v="2"/>
    <x v="116"/>
    <x v="0"/>
  </r>
  <r>
    <x v="151"/>
    <x v="151"/>
    <x v="9"/>
    <x v="0"/>
    <x v="1"/>
    <x v="117"/>
    <x v="3"/>
  </r>
  <r>
    <x v="152"/>
    <x v="152"/>
    <x v="17"/>
    <x v="0"/>
    <x v="2"/>
    <x v="118"/>
    <x v="2"/>
  </r>
  <r>
    <x v="153"/>
    <x v="153"/>
    <x v="18"/>
    <x v="0"/>
    <x v="0"/>
    <x v="119"/>
    <x v="0"/>
  </r>
  <r>
    <x v="154"/>
    <x v="154"/>
    <x v="19"/>
    <x v="0"/>
    <x v="2"/>
    <x v="84"/>
    <x v="0"/>
  </r>
  <r>
    <x v="155"/>
    <x v="155"/>
    <x v="26"/>
    <x v="0"/>
    <x v="0"/>
    <x v="58"/>
    <x v="2"/>
  </r>
  <r>
    <x v="156"/>
    <x v="156"/>
    <x v="3"/>
    <x v="0"/>
    <x v="0"/>
    <x v="120"/>
    <x v="0"/>
  </r>
  <r>
    <x v="157"/>
    <x v="157"/>
    <x v="23"/>
    <x v="0"/>
    <x v="0"/>
    <x v="121"/>
    <x v="3"/>
  </r>
  <r>
    <x v="158"/>
    <x v="158"/>
    <x v="14"/>
    <x v="1"/>
    <x v="1"/>
    <x v="122"/>
    <x v="0"/>
  </r>
  <r>
    <x v="159"/>
    <x v="159"/>
    <x v="15"/>
    <x v="0"/>
    <x v="2"/>
    <x v="123"/>
    <x v="3"/>
  </r>
  <r>
    <x v="160"/>
    <x v="160"/>
    <x v="20"/>
    <x v="1"/>
    <x v="1"/>
    <x v="124"/>
    <x v="0"/>
  </r>
  <r>
    <x v="161"/>
    <x v="161"/>
    <x v="21"/>
    <x v="1"/>
    <x v="0"/>
    <x v="100"/>
    <x v="0"/>
  </r>
  <r>
    <x v="162"/>
    <x v="162"/>
    <x v="0"/>
    <x v="0"/>
    <x v="2"/>
    <x v="125"/>
    <x v="1"/>
  </r>
  <r>
    <x v="163"/>
    <x v="163"/>
    <x v="44"/>
    <x v="0"/>
    <x v="1"/>
    <x v="126"/>
    <x v="0"/>
  </r>
  <r>
    <x v="164"/>
    <x v="164"/>
    <x v="25"/>
    <x v="1"/>
    <x v="2"/>
    <x v="127"/>
    <x v="0"/>
  </r>
  <r>
    <x v="165"/>
    <x v="165"/>
    <x v="41"/>
    <x v="1"/>
    <x v="2"/>
    <x v="100"/>
    <x v="0"/>
  </r>
  <r>
    <x v="166"/>
    <x v="166"/>
    <x v="32"/>
    <x v="1"/>
    <x v="2"/>
    <x v="128"/>
    <x v="1"/>
  </r>
  <r>
    <x v="167"/>
    <x v="167"/>
    <x v="35"/>
    <x v="1"/>
    <x v="0"/>
    <x v="101"/>
    <x v="0"/>
  </r>
  <r>
    <x v="168"/>
    <x v="168"/>
    <x v="6"/>
    <x v="1"/>
    <x v="1"/>
    <x v="82"/>
    <x v="1"/>
  </r>
  <r>
    <x v="169"/>
    <x v="169"/>
    <x v="29"/>
    <x v="1"/>
    <x v="2"/>
    <x v="129"/>
    <x v="2"/>
  </r>
  <r>
    <x v="170"/>
    <x v="170"/>
    <x v="28"/>
    <x v="1"/>
    <x v="2"/>
    <x v="130"/>
    <x v="1"/>
  </r>
  <r>
    <x v="171"/>
    <x v="171"/>
    <x v="35"/>
    <x v="0"/>
    <x v="1"/>
    <x v="131"/>
    <x v="1"/>
  </r>
  <r>
    <x v="172"/>
    <x v="172"/>
    <x v="20"/>
    <x v="0"/>
    <x v="1"/>
    <x v="132"/>
    <x v="3"/>
  </r>
  <r>
    <x v="173"/>
    <x v="173"/>
    <x v="16"/>
    <x v="0"/>
    <x v="2"/>
    <x v="133"/>
    <x v="0"/>
  </r>
  <r>
    <x v="174"/>
    <x v="174"/>
    <x v="33"/>
    <x v="0"/>
    <x v="2"/>
    <x v="121"/>
    <x v="3"/>
  </r>
  <r>
    <x v="175"/>
    <x v="175"/>
    <x v="20"/>
    <x v="0"/>
    <x v="1"/>
    <x v="134"/>
    <x v="0"/>
  </r>
  <r>
    <x v="176"/>
    <x v="176"/>
    <x v="39"/>
    <x v="1"/>
    <x v="2"/>
    <x v="135"/>
    <x v="3"/>
  </r>
  <r>
    <x v="177"/>
    <x v="177"/>
    <x v="24"/>
    <x v="0"/>
    <x v="1"/>
    <x v="136"/>
    <x v="0"/>
  </r>
  <r>
    <x v="178"/>
    <x v="178"/>
    <x v="31"/>
    <x v="1"/>
    <x v="0"/>
    <x v="137"/>
    <x v="0"/>
  </r>
  <r>
    <x v="179"/>
    <x v="179"/>
    <x v="4"/>
    <x v="1"/>
    <x v="2"/>
    <x v="90"/>
    <x v="0"/>
  </r>
  <r>
    <x v="180"/>
    <x v="180"/>
    <x v="11"/>
    <x v="1"/>
    <x v="0"/>
    <x v="138"/>
    <x v="1"/>
  </r>
  <r>
    <x v="181"/>
    <x v="181"/>
    <x v="6"/>
    <x v="1"/>
    <x v="2"/>
    <x v="60"/>
    <x v="2"/>
  </r>
  <r>
    <x v="182"/>
    <x v="182"/>
    <x v="26"/>
    <x v="1"/>
    <x v="0"/>
    <x v="139"/>
    <x v="0"/>
  </r>
  <r>
    <x v="183"/>
    <x v="183"/>
    <x v="20"/>
    <x v="1"/>
    <x v="0"/>
    <x v="106"/>
    <x v="2"/>
  </r>
  <r>
    <x v="184"/>
    <x v="184"/>
    <x v="26"/>
    <x v="1"/>
    <x v="2"/>
    <x v="126"/>
    <x v="0"/>
  </r>
  <r>
    <x v="185"/>
    <x v="185"/>
    <x v="13"/>
    <x v="1"/>
    <x v="0"/>
    <x v="134"/>
    <x v="0"/>
  </r>
  <r>
    <x v="186"/>
    <x v="186"/>
    <x v="0"/>
    <x v="0"/>
    <x v="1"/>
    <x v="140"/>
    <x v="1"/>
  </r>
  <r>
    <x v="187"/>
    <x v="187"/>
    <x v="6"/>
    <x v="0"/>
    <x v="0"/>
    <x v="113"/>
    <x v="0"/>
  </r>
  <r>
    <x v="188"/>
    <x v="188"/>
    <x v="13"/>
    <x v="0"/>
    <x v="0"/>
    <x v="141"/>
    <x v="1"/>
  </r>
  <r>
    <x v="189"/>
    <x v="189"/>
    <x v="35"/>
    <x v="1"/>
    <x v="1"/>
    <x v="70"/>
    <x v="2"/>
  </r>
  <r>
    <x v="190"/>
    <x v="190"/>
    <x v="41"/>
    <x v="1"/>
    <x v="2"/>
    <x v="142"/>
    <x v="2"/>
  </r>
  <r>
    <x v="191"/>
    <x v="191"/>
    <x v="30"/>
    <x v="0"/>
    <x v="1"/>
    <x v="143"/>
    <x v="3"/>
  </r>
  <r>
    <x v="192"/>
    <x v="192"/>
    <x v="36"/>
    <x v="1"/>
    <x v="1"/>
    <x v="82"/>
    <x v="1"/>
  </r>
  <r>
    <x v="193"/>
    <x v="193"/>
    <x v="27"/>
    <x v="1"/>
    <x v="0"/>
    <x v="144"/>
    <x v="1"/>
  </r>
  <r>
    <x v="194"/>
    <x v="194"/>
    <x v="21"/>
    <x v="0"/>
    <x v="0"/>
    <x v="145"/>
    <x v="0"/>
  </r>
  <r>
    <x v="195"/>
    <x v="195"/>
    <x v="36"/>
    <x v="1"/>
    <x v="0"/>
    <x v="146"/>
    <x v="3"/>
  </r>
  <r>
    <x v="196"/>
    <x v="196"/>
    <x v="38"/>
    <x v="0"/>
    <x v="1"/>
    <x v="147"/>
    <x v="0"/>
  </r>
  <r>
    <x v="197"/>
    <x v="197"/>
    <x v="14"/>
    <x v="0"/>
    <x v="1"/>
    <x v="148"/>
    <x v="0"/>
  </r>
  <r>
    <x v="198"/>
    <x v="198"/>
    <x v="33"/>
    <x v="0"/>
    <x v="0"/>
    <x v="149"/>
    <x v="0"/>
  </r>
  <r>
    <x v="199"/>
    <x v="199"/>
    <x v="2"/>
    <x v="1"/>
    <x v="0"/>
    <x v="110"/>
    <x v="1"/>
  </r>
  <r>
    <x v="200"/>
    <x v="200"/>
    <x v="2"/>
    <x v="0"/>
    <x v="0"/>
    <x v="138"/>
    <x v="1"/>
  </r>
  <r>
    <x v="201"/>
    <x v="201"/>
    <x v="1"/>
    <x v="0"/>
    <x v="2"/>
    <x v="1"/>
    <x v="1"/>
  </r>
  <r>
    <x v="202"/>
    <x v="202"/>
    <x v="38"/>
    <x v="1"/>
    <x v="2"/>
    <x v="42"/>
    <x v="1"/>
  </r>
  <r>
    <x v="203"/>
    <x v="203"/>
    <x v="43"/>
    <x v="1"/>
    <x v="1"/>
    <x v="83"/>
    <x v="1"/>
  </r>
  <r>
    <x v="204"/>
    <x v="204"/>
    <x v="36"/>
    <x v="1"/>
    <x v="1"/>
    <x v="87"/>
    <x v="1"/>
  </r>
  <r>
    <x v="205"/>
    <x v="205"/>
    <x v="17"/>
    <x v="0"/>
    <x v="0"/>
    <x v="114"/>
    <x v="3"/>
  </r>
  <r>
    <x v="206"/>
    <x v="206"/>
    <x v="22"/>
    <x v="0"/>
    <x v="1"/>
    <x v="150"/>
    <x v="0"/>
  </r>
  <r>
    <x v="207"/>
    <x v="207"/>
    <x v="23"/>
    <x v="1"/>
    <x v="2"/>
    <x v="151"/>
    <x v="0"/>
  </r>
  <r>
    <x v="208"/>
    <x v="208"/>
    <x v="11"/>
    <x v="1"/>
    <x v="0"/>
    <x v="152"/>
    <x v="1"/>
  </r>
  <r>
    <x v="209"/>
    <x v="209"/>
    <x v="16"/>
    <x v="0"/>
    <x v="0"/>
    <x v="153"/>
    <x v="1"/>
  </r>
  <r>
    <x v="210"/>
    <x v="210"/>
    <x v="41"/>
    <x v="0"/>
    <x v="0"/>
    <x v="103"/>
    <x v="1"/>
  </r>
  <r>
    <x v="211"/>
    <x v="211"/>
    <x v="38"/>
    <x v="1"/>
    <x v="0"/>
    <x v="154"/>
    <x v="0"/>
  </r>
  <r>
    <x v="212"/>
    <x v="212"/>
    <x v="18"/>
    <x v="0"/>
    <x v="2"/>
    <x v="24"/>
    <x v="0"/>
  </r>
  <r>
    <x v="213"/>
    <x v="213"/>
    <x v="29"/>
    <x v="1"/>
    <x v="2"/>
    <x v="155"/>
    <x v="0"/>
  </r>
  <r>
    <x v="214"/>
    <x v="214"/>
    <x v="2"/>
    <x v="0"/>
    <x v="2"/>
    <x v="2"/>
    <x v="0"/>
  </r>
  <r>
    <x v="215"/>
    <x v="215"/>
    <x v="13"/>
    <x v="0"/>
    <x v="1"/>
    <x v="44"/>
    <x v="3"/>
  </r>
  <r>
    <x v="216"/>
    <x v="216"/>
    <x v="30"/>
    <x v="0"/>
    <x v="1"/>
    <x v="156"/>
    <x v="1"/>
  </r>
  <r>
    <x v="217"/>
    <x v="217"/>
    <x v="37"/>
    <x v="0"/>
    <x v="0"/>
    <x v="58"/>
    <x v="2"/>
  </r>
  <r>
    <x v="218"/>
    <x v="218"/>
    <x v="21"/>
    <x v="0"/>
    <x v="2"/>
    <x v="157"/>
    <x v="1"/>
  </r>
  <r>
    <x v="219"/>
    <x v="219"/>
    <x v="3"/>
    <x v="0"/>
    <x v="0"/>
    <x v="134"/>
    <x v="0"/>
  </r>
  <r>
    <x v="220"/>
    <x v="220"/>
    <x v="37"/>
    <x v="1"/>
    <x v="2"/>
    <x v="158"/>
    <x v="1"/>
  </r>
  <r>
    <x v="221"/>
    <x v="221"/>
    <x v="14"/>
    <x v="1"/>
    <x v="2"/>
    <x v="159"/>
    <x v="3"/>
  </r>
  <r>
    <x v="222"/>
    <x v="222"/>
    <x v="20"/>
    <x v="0"/>
    <x v="2"/>
    <x v="153"/>
    <x v="1"/>
  </r>
  <r>
    <x v="223"/>
    <x v="223"/>
    <x v="16"/>
    <x v="1"/>
    <x v="1"/>
    <x v="159"/>
    <x v="3"/>
  </r>
  <r>
    <x v="224"/>
    <x v="224"/>
    <x v="3"/>
    <x v="1"/>
    <x v="1"/>
    <x v="72"/>
    <x v="1"/>
  </r>
  <r>
    <x v="225"/>
    <x v="225"/>
    <x v="40"/>
    <x v="0"/>
    <x v="1"/>
    <x v="160"/>
    <x v="1"/>
  </r>
  <r>
    <x v="226"/>
    <x v="226"/>
    <x v="34"/>
    <x v="1"/>
    <x v="0"/>
    <x v="161"/>
    <x v="0"/>
  </r>
  <r>
    <x v="227"/>
    <x v="227"/>
    <x v="3"/>
    <x v="0"/>
    <x v="2"/>
    <x v="162"/>
    <x v="0"/>
  </r>
  <r>
    <x v="228"/>
    <x v="228"/>
    <x v="14"/>
    <x v="0"/>
    <x v="1"/>
    <x v="163"/>
    <x v="0"/>
  </r>
  <r>
    <x v="229"/>
    <x v="229"/>
    <x v="33"/>
    <x v="1"/>
    <x v="0"/>
    <x v="16"/>
    <x v="0"/>
  </r>
  <r>
    <x v="230"/>
    <x v="230"/>
    <x v="7"/>
    <x v="1"/>
    <x v="2"/>
    <x v="60"/>
    <x v="2"/>
  </r>
  <r>
    <x v="231"/>
    <x v="231"/>
    <x v="13"/>
    <x v="1"/>
    <x v="1"/>
    <x v="68"/>
    <x v="2"/>
  </r>
  <r>
    <x v="232"/>
    <x v="232"/>
    <x v="40"/>
    <x v="0"/>
    <x v="1"/>
    <x v="164"/>
    <x v="1"/>
  </r>
  <r>
    <x v="233"/>
    <x v="233"/>
    <x v="14"/>
    <x v="1"/>
    <x v="0"/>
    <x v="23"/>
    <x v="0"/>
  </r>
  <r>
    <x v="234"/>
    <x v="234"/>
    <x v="21"/>
    <x v="0"/>
    <x v="1"/>
    <x v="165"/>
    <x v="1"/>
  </r>
  <r>
    <x v="235"/>
    <x v="235"/>
    <x v="27"/>
    <x v="1"/>
    <x v="2"/>
    <x v="166"/>
    <x v="1"/>
  </r>
  <r>
    <x v="236"/>
    <x v="236"/>
    <x v="35"/>
    <x v="0"/>
    <x v="2"/>
    <x v="126"/>
    <x v="0"/>
  </r>
  <r>
    <x v="237"/>
    <x v="237"/>
    <x v="20"/>
    <x v="1"/>
    <x v="2"/>
    <x v="167"/>
    <x v="1"/>
  </r>
  <r>
    <x v="238"/>
    <x v="238"/>
    <x v="23"/>
    <x v="1"/>
    <x v="1"/>
    <x v="168"/>
    <x v="2"/>
  </r>
  <r>
    <x v="239"/>
    <x v="239"/>
    <x v="5"/>
    <x v="1"/>
    <x v="2"/>
    <x v="169"/>
    <x v="1"/>
  </r>
  <r>
    <x v="240"/>
    <x v="240"/>
    <x v="6"/>
    <x v="0"/>
    <x v="2"/>
    <x v="124"/>
    <x v="0"/>
  </r>
  <r>
    <x v="241"/>
    <x v="241"/>
    <x v="43"/>
    <x v="1"/>
    <x v="0"/>
    <x v="170"/>
    <x v="1"/>
  </r>
  <r>
    <x v="242"/>
    <x v="242"/>
    <x v="8"/>
    <x v="1"/>
    <x v="0"/>
    <x v="21"/>
    <x v="2"/>
  </r>
  <r>
    <x v="243"/>
    <x v="243"/>
    <x v="11"/>
    <x v="0"/>
    <x v="0"/>
    <x v="171"/>
    <x v="0"/>
  </r>
  <r>
    <x v="244"/>
    <x v="244"/>
    <x v="37"/>
    <x v="0"/>
    <x v="1"/>
    <x v="124"/>
    <x v="0"/>
  </r>
  <r>
    <x v="245"/>
    <x v="245"/>
    <x v="4"/>
    <x v="0"/>
    <x v="1"/>
    <x v="172"/>
    <x v="2"/>
  </r>
  <r>
    <x v="246"/>
    <x v="246"/>
    <x v="21"/>
    <x v="0"/>
    <x v="0"/>
    <x v="115"/>
    <x v="0"/>
  </r>
  <r>
    <x v="247"/>
    <x v="247"/>
    <x v="0"/>
    <x v="1"/>
    <x v="0"/>
    <x v="61"/>
    <x v="0"/>
  </r>
  <r>
    <x v="248"/>
    <x v="248"/>
    <x v="44"/>
    <x v="1"/>
    <x v="0"/>
    <x v="173"/>
    <x v="2"/>
  </r>
  <r>
    <x v="249"/>
    <x v="249"/>
    <x v="11"/>
    <x v="0"/>
    <x v="2"/>
    <x v="174"/>
    <x v="3"/>
  </r>
  <r>
    <x v="250"/>
    <x v="250"/>
    <x v="15"/>
    <x v="1"/>
    <x v="1"/>
    <x v="105"/>
    <x v="1"/>
  </r>
  <r>
    <x v="251"/>
    <x v="251"/>
    <x v="3"/>
    <x v="1"/>
    <x v="1"/>
    <x v="109"/>
    <x v="0"/>
  </r>
  <r>
    <x v="252"/>
    <x v="252"/>
    <x v="10"/>
    <x v="1"/>
    <x v="0"/>
    <x v="38"/>
    <x v="1"/>
  </r>
  <r>
    <x v="253"/>
    <x v="253"/>
    <x v="43"/>
    <x v="1"/>
    <x v="0"/>
    <x v="175"/>
    <x v="2"/>
  </r>
  <r>
    <x v="254"/>
    <x v="254"/>
    <x v="33"/>
    <x v="1"/>
    <x v="2"/>
    <x v="176"/>
    <x v="0"/>
  </r>
  <r>
    <x v="255"/>
    <x v="255"/>
    <x v="16"/>
    <x v="0"/>
    <x v="2"/>
    <x v="177"/>
    <x v="0"/>
  </r>
  <r>
    <x v="256"/>
    <x v="256"/>
    <x v="29"/>
    <x v="1"/>
    <x v="1"/>
    <x v="178"/>
    <x v="2"/>
  </r>
  <r>
    <x v="257"/>
    <x v="257"/>
    <x v="32"/>
    <x v="0"/>
    <x v="2"/>
    <x v="49"/>
    <x v="2"/>
  </r>
  <r>
    <x v="258"/>
    <x v="258"/>
    <x v="17"/>
    <x v="1"/>
    <x v="1"/>
    <x v="179"/>
    <x v="1"/>
  </r>
  <r>
    <x v="259"/>
    <x v="259"/>
    <x v="8"/>
    <x v="1"/>
    <x v="1"/>
    <x v="64"/>
    <x v="1"/>
  </r>
  <r>
    <x v="260"/>
    <x v="260"/>
    <x v="1"/>
    <x v="0"/>
    <x v="0"/>
    <x v="180"/>
    <x v="1"/>
  </r>
  <r>
    <x v="261"/>
    <x v="261"/>
    <x v="4"/>
    <x v="1"/>
    <x v="1"/>
    <x v="3"/>
    <x v="0"/>
  </r>
  <r>
    <x v="262"/>
    <x v="262"/>
    <x v="2"/>
    <x v="0"/>
    <x v="1"/>
    <x v="117"/>
    <x v="3"/>
  </r>
  <r>
    <x v="263"/>
    <x v="263"/>
    <x v="10"/>
    <x v="1"/>
    <x v="1"/>
    <x v="181"/>
    <x v="0"/>
  </r>
  <r>
    <x v="264"/>
    <x v="264"/>
    <x v="42"/>
    <x v="0"/>
    <x v="2"/>
    <x v="120"/>
    <x v="0"/>
  </r>
  <r>
    <x v="265"/>
    <x v="265"/>
    <x v="24"/>
    <x v="1"/>
    <x v="1"/>
    <x v="182"/>
    <x v="2"/>
  </r>
  <r>
    <x v="266"/>
    <x v="266"/>
    <x v="12"/>
    <x v="0"/>
    <x v="2"/>
    <x v="51"/>
    <x v="1"/>
  </r>
  <r>
    <x v="267"/>
    <x v="267"/>
    <x v="40"/>
    <x v="0"/>
    <x v="1"/>
    <x v="183"/>
    <x v="3"/>
  </r>
  <r>
    <x v="268"/>
    <x v="268"/>
    <x v="29"/>
    <x v="0"/>
    <x v="1"/>
    <x v="24"/>
    <x v="0"/>
  </r>
  <r>
    <x v="269"/>
    <x v="269"/>
    <x v="9"/>
    <x v="1"/>
    <x v="2"/>
    <x v="169"/>
    <x v="1"/>
  </r>
  <r>
    <x v="270"/>
    <x v="270"/>
    <x v="6"/>
    <x v="1"/>
    <x v="0"/>
    <x v="135"/>
    <x v="3"/>
  </r>
  <r>
    <x v="271"/>
    <x v="271"/>
    <x v="12"/>
    <x v="1"/>
    <x v="1"/>
    <x v="184"/>
    <x v="0"/>
  </r>
  <r>
    <x v="272"/>
    <x v="272"/>
    <x v="19"/>
    <x v="1"/>
    <x v="1"/>
    <x v="88"/>
    <x v="0"/>
  </r>
  <r>
    <x v="273"/>
    <x v="273"/>
    <x v="12"/>
    <x v="0"/>
    <x v="2"/>
    <x v="185"/>
    <x v="3"/>
  </r>
  <r>
    <x v="274"/>
    <x v="274"/>
    <x v="14"/>
    <x v="0"/>
    <x v="1"/>
    <x v="186"/>
    <x v="1"/>
  </r>
  <r>
    <x v="275"/>
    <x v="275"/>
    <x v="6"/>
    <x v="1"/>
    <x v="2"/>
    <x v="161"/>
    <x v="0"/>
  </r>
  <r>
    <x v="276"/>
    <x v="276"/>
    <x v="16"/>
    <x v="0"/>
    <x v="0"/>
    <x v="187"/>
    <x v="3"/>
  </r>
  <r>
    <x v="277"/>
    <x v="277"/>
    <x v="19"/>
    <x v="0"/>
    <x v="0"/>
    <x v="85"/>
    <x v="0"/>
  </r>
  <r>
    <x v="278"/>
    <x v="278"/>
    <x v="17"/>
    <x v="0"/>
    <x v="2"/>
    <x v="188"/>
    <x v="0"/>
  </r>
  <r>
    <x v="279"/>
    <x v="279"/>
    <x v="22"/>
    <x v="0"/>
    <x v="2"/>
    <x v="189"/>
    <x v="3"/>
  </r>
  <r>
    <x v="280"/>
    <x v="280"/>
    <x v="14"/>
    <x v="0"/>
    <x v="2"/>
    <x v="185"/>
    <x v="3"/>
  </r>
  <r>
    <x v="281"/>
    <x v="281"/>
    <x v="16"/>
    <x v="0"/>
    <x v="2"/>
    <x v="58"/>
    <x v="2"/>
  </r>
  <r>
    <x v="282"/>
    <x v="282"/>
    <x v="3"/>
    <x v="0"/>
    <x v="2"/>
    <x v="91"/>
    <x v="1"/>
  </r>
  <r>
    <x v="283"/>
    <x v="283"/>
    <x v="20"/>
    <x v="0"/>
    <x v="1"/>
    <x v="157"/>
    <x v="1"/>
  </r>
  <r>
    <x v="284"/>
    <x v="284"/>
    <x v="29"/>
    <x v="0"/>
    <x v="1"/>
    <x v="19"/>
    <x v="3"/>
  </r>
  <r>
    <x v="285"/>
    <x v="285"/>
    <x v="15"/>
    <x v="0"/>
    <x v="0"/>
    <x v="190"/>
    <x v="3"/>
  </r>
  <r>
    <x v="286"/>
    <x v="286"/>
    <x v="28"/>
    <x v="0"/>
    <x v="0"/>
    <x v="191"/>
    <x v="1"/>
  </r>
  <r>
    <x v="287"/>
    <x v="287"/>
    <x v="30"/>
    <x v="1"/>
    <x v="0"/>
    <x v="189"/>
    <x v="3"/>
  </r>
  <r>
    <x v="288"/>
    <x v="288"/>
    <x v="10"/>
    <x v="1"/>
    <x v="1"/>
    <x v="58"/>
    <x v="2"/>
  </r>
  <r>
    <x v="289"/>
    <x v="289"/>
    <x v="23"/>
    <x v="1"/>
    <x v="1"/>
    <x v="128"/>
    <x v="1"/>
  </r>
  <r>
    <x v="290"/>
    <x v="290"/>
    <x v="15"/>
    <x v="1"/>
    <x v="2"/>
    <x v="49"/>
    <x v="2"/>
  </r>
  <r>
    <x v="291"/>
    <x v="291"/>
    <x v="13"/>
    <x v="0"/>
    <x v="2"/>
    <x v="83"/>
    <x v="1"/>
  </r>
  <r>
    <x v="292"/>
    <x v="292"/>
    <x v="14"/>
    <x v="1"/>
    <x v="1"/>
    <x v="28"/>
    <x v="1"/>
  </r>
  <r>
    <x v="293"/>
    <x v="293"/>
    <x v="31"/>
    <x v="1"/>
    <x v="2"/>
    <x v="59"/>
    <x v="3"/>
  </r>
  <r>
    <x v="294"/>
    <x v="294"/>
    <x v="27"/>
    <x v="0"/>
    <x v="0"/>
    <x v="22"/>
    <x v="1"/>
  </r>
  <r>
    <x v="295"/>
    <x v="295"/>
    <x v="13"/>
    <x v="0"/>
    <x v="1"/>
    <x v="192"/>
    <x v="0"/>
  </r>
  <r>
    <x v="296"/>
    <x v="296"/>
    <x v="29"/>
    <x v="0"/>
    <x v="1"/>
    <x v="193"/>
    <x v="1"/>
  </r>
  <r>
    <x v="297"/>
    <x v="297"/>
    <x v="37"/>
    <x v="0"/>
    <x v="2"/>
    <x v="157"/>
    <x v="1"/>
  </r>
  <r>
    <x v="298"/>
    <x v="298"/>
    <x v="24"/>
    <x v="1"/>
    <x v="2"/>
    <x v="181"/>
    <x v="0"/>
  </r>
  <r>
    <x v="299"/>
    <x v="299"/>
    <x v="43"/>
    <x v="0"/>
    <x v="1"/>
    <x v="175"/>
    <x v="2"/>
  </r>
  <r>
    <x v="300"/>
    <x v="300"/>
    <x v="31"/>
    <x v="0"/>
    <x v="0"/>
    <x v="143"/>
    <x v="3"/>
  </r>
  <r>
    <x v="301"/>
    <x v="301"/>
    <x v="21"/>
    <x v="0"/>
    <x v="0"/>
    <x v="12"/>
    <x v="1"/>
  </r>
  <r>
    <x v="302"/>
    <x v="302"/>
    <x v="2"/>
    <x v="0"/>
    <x v="0"/>
    <x v="194"/>
    <x v="3"/>
  </r>
  <r>
    <x v="303"/>
    <x v="303"/>
    <x v="40"/>
    <x v="1"/>
    <x v="0"/>
    <x v="141"/>
    <x v="1"/>
  </r>
  <r>
    <x v="304"/>
    <x v="304"/>
    <x v="18"/>
    <x v="1"/>
    <x v="0"/>
    <x v="195"/>
    <x v="2"/>
  </r>
  <r>
    <x v="305"/>
    <x v="305"/>
    <x v="28"/>
    <x v="0"/>
    <x v="2"/>
    <x v="196"/>
    <x v="0"/>
  </r>
  <r>
    <x v="306"/>
    <x v="306"/>
    <x v="15"/>
    <x v="0"/>
    <x v="2"/>
    <x v="64"/>
    <x v="1"/>
  </r>
  <r>
    <x v="307"/>
    <x v="307"/>
    <x v="13"/>
    <x v="1"/>
    <x v="2"/>
    <x v="190"/>
    <x v="3"/>
  </r>
  <r>
    <x v="308"/>
    <x v="308"/>
    <x v="35"/>
    <x v="0"/>
    <x v="0"/>
    <x v="132"/>
    <x v="3"/>
  </r>
  <r>
    <x v="309"/>
    <x v="309"/>
    <x v="14"/>
    <x v="1"/>
    <x v="0"/>
    <x v="159"/>
    <x v="3"/>
  </r>
  <r>
    <x v="310"/>
    <x v="310"/>
    <x v="36"/>
    <x v="0"/>
    <x v="1"/>
    <x v="119"/>
    <x v="0"/>
  </r>
  <r>
    <x v="311"/>
    <x v="311"/>
    <x v="44"/>
    <x v="0"/>
    <x v="0"/>
    <x v="197"/>
    <x v="1"/>
  </r>
  <r>
    <x v="312"/>
    <x v="312"/>
    <x v="14"/>
    <x v="1"/>
    <x v="0"/>
    <x v="198"/>
    <x v="2"/>
  </r>
  <r>
    <x v="313"/>
    <x v="313"/>
    <x v="4"/>
    <x v="0"/>
    <x v="1"/>
    <x v="133"/>
    <x v="0"/>
  </r>
  <r>
    <x v="314"/>
    <x v="314"/>
    <x v="30"/>
    <x v="0"/>
    <x v="2"/>
    <x v="141"/>
    <x v="1"/>
  </r>
  <r>
    <x v="315"/>
    <x v="315"/>
    <x v="34"/>
    <x v="1"/>
    <x v="1"/>
    <x v="44"/>
    <x v="3"/>
  </r>
  <r>
    <x v="316"/>
    <x v="316"/>
    <x v="32"/>
    <x v="0"/>
    <x v="2"/>
    <x v="136"/>
    <x v="0"/>
  </r>
  <r>
    <x v="317"/>
    <x v="317"/>
    <x v="6"/>
    <x v="1"/>
    <x v="0"/>
    <x v="59"/>
    <x v="3"/>
  </r>
  <r>
    <x v="318"/>
    <x v="318"/>
    <x v="2"/>
    <x v="0"/>
    <x v="0"/>
    <x v="187"/>
    <x v="3"/>
  </r>
  <r>
    <x v="319"/>
    <x v="319"/>
    <x v="26"/>
    <x v="1"/>
    <x v="2"/>
    <x v="116"/>
    <x v="0"/>
  </r>
  <r>
    <x v="320"/>
    <x v="320"/>
    <x v="13"/>
    <x v="0"/>
    <x v="0"/>
    <x v="199"/>
    <x v="3"/>
  </r>
  <r>
    <x v="321"/>
    <x v="321"/>
    <x v="9"/>
    <x v="0"/>
    <x v="0"/>
    <x v="29"/>
    <x v="0"/>
  </r>
  <r>
    <x v="322"/>
    <x v="322"/>
    <x v="35"/>
    <x v="1"/>
    <x v="1"/>
    <x v="107"/>
    <x v="3"/>
  </r>
  <r>
    <x v="323"/>
    <x v="323"/>
    <x v="34"/>
    <x v="1"/>
    <x v="2"/>
    <x v="136"/>
    <x v="0"/>
  </r>
  <r>
    <x v="324"/>
    <x v="324"/>
    <x v="44"/>
    <x v="1"/>
    <x v="0"/>
    <x v="41"/>
    <x v="0"/>
  </r>
  <r>
    <x v="325"/>
    <x v="325"/>
    <x v="23"/>
    <x v="1"/>
    <x v="2"/>
    <x v="200"/>
    <x v="2"/>
  </r>
  <r>
    <x v="326"/>
    <x v="326"/>
    <x v="40"/>
    <x v="1"/>
    <x v="1"/>
    <x v="3"/>
    <x v="0"/>
  </r>
  <r>
    <x v="327"/>
    <x v="327"/>
    <x v="24"/>
    <x v="0"/>
    <x v="1"/>
    <x v="201"/>
    <x v="0"/>
  </r>
  <r>
    <x v="328"/>
    <x v="328"/>
    <x v="36"/>
    <x v="0"/>
    <x v="2"/>
    <x v="140"/>
    <x v="1"/>
  </r>
  <r>
    <x v="329"/>
    <x v="329"/>
    <x v="11"/>
    <x v="0"/>
    <x v="0"/>
    <x v="155"/>
    <x v="0"/>
  </r>
  <r>
    <x v="330"/>
    <x v="330"/>
    <x v="15"/>
    <x v="0"/>
    <x v="0"/>
    <x v="51"/>
    <x v="1"/>
  </r>
  <r>
    <x v="331"/>
    <x v="331"/>
    <x v="9"/>
    <x v="1"/>
    <x v="0"/>
    <x v="179"/>
    <x v="1"/>
  </r>
  <r>
    <x v="332"/>
    <x v="332"/>
    <x v="3"/>
    <x v="0"/>
    <x v="2"/>
    <x v="202"/>
    <x v="0"/>
  </r>
  <r>
    <x v="333"/>
    <x v="333"/>
    <x v="25"/>
    <x v="0"/>
    <x v="0"/>
    <x v="203"/>
    <x v="2"/>
  </r>
  <r>
    <x v="334"/>
    <x v="334"/>
    <x v="2"/>
    <x v="1"/>
    <x v="1"/>
    <x v="204"/>
    <x v="0"/>
  </r>
  <r>
    <x v="335"/>
    <x v="335"/>
    <x v="13"/>
    <x v="0"/>
    <x v="2"/>
    <x v="205"/>
    <x v="2"/>
  </r>
  <r>
    <x v="336"/>
    <x v="336"/>
    <x v="32"/>
    <x v="0"/>
    <x v="0"/>
    <x v="206"/>
    <x v="2"/>
  </r>
  <r>
    <x v="337"/>
    <x v="337"/>
    <x v="23"/>
    <x v="1"/>
    <x v="2"/>
    <x v="123"/>
    <x v="3"/>
  </r>
  <r>
    <x v="338"/>
    <x v="338"/>
    <x v="22"/>
    <x v="0"/>
    <x v="2"/>
    <x v="207"/>
    <x v="0"/>
  </r>
  <r>
    <x v="339"/>
    <x v="339"/>
    <x v="26"/>
    <x v="1"/>
    <x v="0"/>
    <x v="117"/>
    <x v="3"/>
  </r>
  <r>
    <x v="340"/>
    <x v="340"/>
    <x v="6"/>
    <x v="1"/>
    <x v="1"/>
    <x v="208"/>
    <x v="0"/>
  </r>
  <r>
    <x v="341"/>
    <x v="341"/>
    <x v="33"/>
    <x v="1"/>
    <x v="2"/>
    <x v="209"/>
    <x v="2"/>
  </r>
  <r>
    <x v="342"/>
    <x v="342"/>
    <x v="42"/>
    <x v="1"/>
    <x v="2"/>
    <x v="50"/>
    <x v="0"/>
  </r>
  <r>
    <x v="343"/>
    <x v="343"/>
    <x v="21"/>
    <x v="0"/>
    <x v="0"/>
    <x v="177"/>
    <x v="0"/>
  </r>
  <r>
    <x v="344"/>
    <x v="344"/>
    <x v="8"/>
    <x v="0"/>
    <x v="1"/>
    <x v="116"/>
    <x v="0"/>
  </r>
  <r>
    <x v="345"/>
    <x v="345"/>
    <x v="0"/>
    <x v="0"/>
    <x v="0"/>
    <x v="78"/>
    <x v="2"/>
  </r>
  <r>
    <x v="346"/>
    <x v="346"/>
    <x v="3"/>
    <x v="0"/>
    <x v="1"/>
    <x v="56"/>
    <x v="1"/>
  </r>
  <r>
    <x v="347"/>
    <x v="347"/>
    <x v="34"/>
    <x v="0"/>
    <x v="0"/>
    <x v="157"/>
    <x v="1"/>
  </r>
  <r>
    <x v="348"/>
    <x v="348"/>
    <x v="26"/>
    <x v="1"/>
    <x v="0"/>
    <x v="163"/>
    <x v="0"/>
  </r>
  <r>
    <x v="349"/>
    <x v="349"/>
    <x v="32"/>
    <x v="1"/>
    <x v="1"/>
    <x v="72"/>
    <x v="1"/>
  </r>
  <r>
    <x v="350"/>
    <x v="350"/>
    <x v="20"/>
    <x v="0"/>
    <x v="2"/>
    <x v="210"/>
    <x v="1"/>
  </r>
  <r>
    <x v="351"/>
    <x v="351"/>
    <x v="20"/>
    <x v="0"/>
    <x v="0"/>
    <x v="211"/>
    <x v="0"/>
  </r>
  <r>
    <x v="352"/>
    <x v="352"/>
    <x v="19"/>
    <x v="0"/>
    <x v="2"/>
    <x v="88"/>
    <x v="0"/>
  </r>
  <r>
    <x v="353"/>
    <x v="353"/>
    <x v="22"/>
    <x v="0"/>
    <x v="1"/>
    <x v="212"/>
    <x v="1"/>
  </r>
  <r>
    <x v="354"/>
    <x v="354"/>
    <x v="16"/>
    <x v="1"/>
    <x v="0"/>
    <x v="28"/>
    <x v="1"/>
  </r>
  <r>
    <x v="355"/>
    <x v="355"/>
    <x v="24"/>
    <x v="0"/>
    <x v="2"/>
    <x v="84"/>
    <x v="0"/>
  </r>
  <r>
    <x v="356"/>
    <x v="356"/>
    <x v="19"/>
    <x v="0"/>
    <x v="0"/>
    <x v="213"/>
    <x v="2"/>
  </r>
  <r>
    <x v="357"/>
    <x v="357"/>
    <x v="1"/>
    <x v="1"/>
    <x v="2"/>
    <x v="214"/>
    <x v="1"/>
  </r>
  <r>
    <x v="358"/>
    <x v="358"/>
    <x v="32"/>
    <x v="0"/>
    <x v="1"/>
    <x v="57"/>
    <x v="1"/>
  </r>
  <r>
    <x v="359"/>
    <x v="359"/>
    <x v="23"/>
    <x v="1"/>
    <x v="1"/>
    <x v="144"/>
    <x v="1"/>
  </r>
  <r>
    <x v="360"/>
    <x v="360"/>
    <x v="41"/>
    <x v="0"/>
    <x v="1"/>
    <x v="215"/>
    <x v="1"/>
  </r>
  <r>
    <x v="361"/>
    <x v="361"/>
    <x v="18"/>
    <x v="0"/>
    <x v="2"/>
    <x v="216"/>
    <x v="3"/>
  </r>
  <r>
    <x v="362"/>
    <x v="362"/>
    <x v="27"/>
    <x v="0"/>
    <x v="0"/>
    <x v="105"/>
    <x v="1"/>
  </r>
  <r>
    <x v="363"/>
    <x v="363"/>
    <x v="16"/>
    <x v="1"/>
    <x v="2"/>
    <x v="165"/>
    <x v="1"/>
  </r>
  <r>
    <x v="364"/>
    <x v="364"/>
    <x v="19"/>
    <x v="1"/>
    <x v="2"/>
    <x v="217"/>
    <x v="3"/>
  </r>
  <r>
    <x v="365"/>
    <x v="365"/>
    <x v="17"/>
    <x v="1"/>
    <x v="2"/>
    <x v="47"/>
    <x v="0"/>
  </r>
  <r>
    <x v="366"/>
    <x v="366"/>
    <x v="33"/>
    <x v="1"/>
    <x v="0"/>
    <x v="218"/>
    <x v="3"/>
  </r>
  <r>
    <x v="367"/>
    <x v="367"/>
    <x v="2"/>
    <x v="0"/>
    <x v="1"/>
    <x v="42"/>
    <x v="1"/>
  </r>
  <r>
    <x v="368"/>
    <x v="368"/>
    <x v="38"/>
    <x v="1"/>
    <x v="1"/>
    <x v="219"/>
    <x v="0"/>
  </r>
  <r>
    <x v="369"/>
    <x v="369"/>
    <x v="6"/>
    <x v="0"/>
    <x v="1"/>
    <x v="14"/>
    <x v="0"/>
  </r>
  <r>
    <x v="370"/>
    <x v="370"/>
    <x v="12"/>
    <x v="1"/>
    <x v="0"/>
    <x v="207"/>
    <x v="0"/>
  </r>
  <r>
    <x v="371"/>
    <x v="371"/>
    <x v="6"/>
    <x v="0"/>
    <x v="2"/>
    <x v="4"/>
    <x v="2"/>
  </r>
  <r>
    <x v="372"/>
    <x v="372"/>
    <x v="42"/>
    <x v="1"/>
    <x v="2"/>
    <x v="220"/>
    <x v="0"/>
  </r>
  <r>
    <x v="373"/>
    <x v="373"/>
    <x v="15"/>
    <x v="0"/>
    <x v="0"/>
    <x v="9"/>
    <x v="1"/>
  </r>
  <r>
    <x v="374"/>
    <x v="374"/>
    <x v="10"/>
    <x v="1"/>
    <x v="0"/>
    <x v="221"/>
    <x v="0"/>
  </r>
  <r>
    <x v="375"/>
    <x v="375"/>
    <x v="40"/>
    <x v="1"/>
    <x v="2"/>
    <x v="222"/>
    <x v="1"/>
  </r>
  <r>
    <x v="376"/>
    <x v="376"/>
    <x v="13"/>
    <x v="0"/>
    <x v="0"/>
    <x v="123"/>
    <x v="3"/>
  </r>
  <r>
    <x v="377"/>
    <x v="377"/>
    <x v="29"/>
    <x v="0"/>
    <x v="1"/>
    <x v="178"/>
    <x v="2"/>
  </r>
  <r>
    <x v="378"/>
    <x v="378"/>
    <x v="23"/>
    <x v="0"/>
    <x v="1"/>
    <x v="223"/>
    <x v="0"/>
  </r>
  <r>
    <x v="379"/>
    <x v="379"/>
    <x v="29"/>
    <x v="1"/>
    <x v="1"/>
    <x v="56"/>
    <x v="1"/>
  </r>
  <r>
    <x v="380"/>
    <x v="380"/>
    <x v="6"/>
    <x v="1"/>
    <x v="0"/>
    <x v="28"/>
    <x v="1"/>
  </r>
  <r>
    <x v="381"/>
    <x v="381"/>
    <x v="13"/>
    <x v="0"/>
    <x v="1"/>
    <x v="13"/>
    <x v="2"/>
  </r>
  <r>
    <x v="382"/>
    <x v="382"/>
    <x v="37"/>
    <x v="1"/>
    <x v="1"/>
    <x v="190"/>
    <x v="3"/>
  </r>
  <r>
    <x v="383"/>
    <x v="383"/>
    <x v="14"/>
    <x v="0"/>
    <x v="2"/>
    <x v="14"/>
    <x v="0"/>
  </r>
  <r>
    <x v="384"/>
    <x v="384"/>
    <x v="20"/>
    <x v="1"/>
    <x v="0"/>
    <x v="216"/>
    <x v="3"/>
  </r>
  <r>
    <x v="385"/>
    <x v="385"/>
    <x v="30"/>
    <x v="0"/>
    <x v="2"/>
    <x v="224"/>
    <x v="3"/>
  </r>
  <r>
    <x v="386"/>
    <x v="386"/>
    <x v="44"/>
    <x v="1"/>
    <x v="0"/>
    <x v="225"/>
    <x v="3"/>
  </r>
  <r>
    <x v="387"/>
    <x v="387"/>
    <x v="40"/>
    <x v="0"/>
    <x v="1"/>
    <x v="149"/>
    <x v="0"/>
  </r>
  <r>
    <x v="388"/>
    <x v="388"/>
    <x v="17"/>
    <x v="0"/>
    <x v="0"/>
    <x v="74"/>
    <x v="2"/>
  </r>
  <r>
    <x v="389"/>
    <x v="389"/>
    <x v="35"/>
    <x v="1"/>
    <x v="2"/>
    <x v="183"/>
    <x v="3"/>
  </r>
  <r>
    <x v="390"/>
    <x v="390"/>
    <x v="17"/>
    <x v="1"/>
    <x v="1"/>
    <x v="197"/>
    <x v="1"/>
  </r>
  <r>
    <x v="391"/>
    <x v="391"/>
    <x v="20"/>
    <x v="0"/>
    <x v="0"/>
    <x v="160"/>
    <x v="1"/>
  </r>
  <r>
    <x v="392"/>
    <x v="392"/>
    <x v="9"/>
    <x v="1"/>
    <x v="2"/>
    <x v="226"/>
    <x v="0"/>
  </r>
  <r>
    <x v="393"/>
    <x v="393"/>
    <x v="40"/>
    <x v="0"/>
    <x v="1"/>
    <x v="114"/>
    <x v="3"/>
  </r>
  <r>
    <x v="394"/>
    <x v="394"/>
    <x v="27"/>
    <x v="1"/>
    <x v="1"/>
    <x v="197"/>
    <x v="1"/>
  </r>
  <r>
    <x v="395"/>
    <x v="395"/>
    <x v="22"/>
    <x v="1"/>
    <x v="1"/>
    <x v="227"/>
    <x v="1"/>
  </r>
  <r>
    <x v="396"/>
    <x v="396"/>
    <x v="41"/>
    <x v="1"/>
    <x v="0"/>
    <x v="55"/>
    <x v="2"/>
  </r>
  <r>
    <x v="397"/>
    <x v="397"/>
    <x v="12"/>
    <x v="1"/>
    <x v="0"/>
    <x v="140"/>
    <x v="1"/>
  </r>
  <r>
    <x v="398"/>
    <x v="398"/>
    <x v="42"/>
    <x v="0"/>
    <x v="2"/>
    <x v="228"/>
    <x v="3"/>
  </r>
  <r>
    <x v="399"/>
    <x v="399"/>
    <x v="0"/>
    <x v="1"/>
    <x v="2"/>
    <x v="70"/>
    <x v="2"/>
  </r>
  <r>
    <x v="400"/>
    <x v="400"/>
    <x v="35"/>
    <x v="1"/>
    <x v="1"/>
    <x v="132"/>
    <x v="3"/>
  </r>
  <r>
    <x v="401"/>
    <x v="401"/>
    <x v="18"/>
    <x v="1"/>
    <x v="0"/>
    <x v="194"/>
    <x v="3"/>
  </r>
  <r>
    <x v="402"/>
    <x v="402"/>
    <x v="19"/>
    <x v="0"/>
    <x v="1"/>
    <x v="48"/>
    <x v="1"/>
  </r>
  <r>
    <x v="403"/>
    <x v="403"/>
    <x v="16"/>
    <x v="1"/>
    <x v="0"/>
    <x v="229"/>
    <x v="3"/>
  </r>
  <r>
    <x v="404"/>
    <x v="404"/>
    <x v="36"/>
    <x v="0"/>
    <x v="2"/>
    <x v="6"/>
    <x v="1"/>
  </r>
  <r>
    <x v="405"/>
    <x v="405"/>
    <x v="1"/>
    <x v="1"/>
    <x v="2"/>
    <x v="211"/>
    <x v="0"/>
  </r>
  <r>
    <x v="406"/>
    <x v="406"/>
    <x v="31"/>
    <x v="1"/>
    <x v="2"/>
    <x v="64"/>
    <x v="1"/>
  </r>
  <r>
    <x v="407"/>
    <x v="407"/>
    <x v="27"/>
    <x v="0"/>
    <x v="0"/>
    <x v="14"/>
    <x v="0"/>
  </r>
  <r>
    <x v="408"/>
    <x v="408"/>
    <x v="31"/>
    <x v="0"/>
    <x v="1"/>
    <x v="176"/>
    <x v="0"/>
  </r>
  <r>
    <x v="409"/>
    <x v="409"/>
    <x v="20"/>
    <x v="0"/>
    <x v="1"/>
    <x v="48"/>
    <x v="1"/>
  </r>
  <r>
    <x v="410"/>
    <x v="410"/>
    <x v="30"/>
    <x v="0"/>
    <x v="1"/>
    <x v="230"/>
    <x v="1"/>
  </r>
  <r>
    <x v="411"/>
    <x v="411"/>
    <x v="30"/>
    <x v="0"/>
    <x v="2"/>
    <x v="40"/>
    <x v="1"/>
  </r>
  <r>
    <x v="412"/>
    <x v="412"/>
    <x v="32"/>
    <x v="0"/>
    <x v="2"/>
    <x v="222"/>
    <x v="1"/>
  </r>
  <r>
    <x v="413"/>
    <x v="413"/>
    <x v="36"/>
    <x v="0"/>
    <x v="2"/>
    <x v="185"/>
    <x v="3"/>
  </r>
  <r>
    <x v="414"/>
    <x v="414"/>
    <x v="10"/>
    <x v="1"/>
    <x v="2"/>
    <x v="126"/>
    <x v="0"/>
  </r>
  <r>
    <x v="415"/>
    <x v="415"/>
    <x v="15"/>
    <x v="1"/>
    <x v="1"/>
    <x v="129"/>
    <x v="2"/>
  </r>
  <r>
    <x v="416"/>
    <x v="416"/>
    <x v="42"/>
    <x v="1"/>
    <x v="1"/>
    <x v="231"/>
    <x v="3"/>
  </r>
  <r>
    <x v="417"/>
    <x v="417"/>
    <x v="8"/>
    <x v="1"/>
    <x v="2"/>
    <x v="64"/>
    <x v="1"/>
  </r>
  <r>
    <x v="418"/>
    <x v="418"/>
    <x v="34"/>
    <x v="0"/>
    <x v="1"/>
    <x v="123"/>
    <x v="3"/>
  </r>
  <r>
    <x v="419"/>
    <x v="419"/>
    <x v="41"/>
    <x v="0"/>
    <x v="2"/>
    <x v="179"/>
    <x v="1"/>
  </r>
  <r>
    <x v="420"/>
    <x v="420"/>
    <x v="38"/>
    <x v="0"/>
    <x v="1"/>
    <x v="66"/>
    <x v="0"/>
  </r>
  <r>
    <x v="421"/>
    <x v="421"/>
    <x v="32"/>
    <x v="1"/>
    <x v="1"/>
    <x v="232"/>
    <x v="1"/>
  </r>
  <r>
    <x v="422"/>
    <x v="422"/>
    <x v="7"/>
    <x v="1"/>
    <x v="2"/>
    <x v="130"/>
    <x v="1"/>
  </r>
  <r>
    <x v="423"/>
    <x v="423"/>
    <x v="27"/>
    <x v="1"/>
    <x v="0"/>
    <x v="25"/>
    <x v="0"/>
  </r>
  <r>
    <x v="424"/>
    <x v="424"/>
    <x v="11"/>
    <x v="1"/>
    <x v="0"/>
    <x v="51"/>
    <x v="1"/>
  </r>
  <r>
    <x v="425"/>
    <x v="425"/>
    <x v="32"/>
    <x v="0"/>
    <x v="0"/>
    <x v="200"/>
    <x v="2"/>
  </r>
  <r>
    <x v="426"/>
    <x v="426"/>
    <x v="30"/>
    <x v="1"/>
    <x v="1"/>
    <x v="6"/>
    <x v="1"/>
  </r>
  <r>
    <x v="427"/>
    <x v="427"/>
    <x v="9"/>
    <x v="1"/>
    <x v="2"/>
    <x v="19"/>
    <x v="3"/>
  </r>
  <r>
    <x v="428"/>
    <x v="428"/>
    <x v="42"/>
    <x v="1"/>
    <x v="1"/>
    <x v="233"/>
    <x v="0"/>
  </r>
  <r>
    <x v="429"/>
    <x v="429"/>
    <x v="13"/>
    <x v="1"/>
    <x v="2"/>
    <x v="234"/>
    <x v="1"/>
  </r>
  <r>
    <x v="430"/>
    <x v="430"/>
    <x v="15"/>
    <x v="0"/>
    <x v="1"/>
    <x v="118"/>
    <x v="2"/>
  </r>
  <r>
    <x v="431"/>
    <x v="431"/>
    <x v="35"/>
    <x v="1"/>
    <x v="0"/>
    <x v="39"/>
    <x v="2"/>
  </r>
  <r>
    <x v="432"/>
    <x v="432"/>
    <x v="18"/>
    <x v="0"/>
    <x v="2"/>
    <x v="165"/>
    <x v="1"/>
  </r>
  <r>
    <x v="433"/>
    <x v="433"/>
    <x v="19"/>
    <x v="0"/>
    <x v="1"/>
    <x v="166"/>
    <x v="1"/>
  </r>
  <r>
    <x v="434"/>
    <x v="434"/>
    <x v="37"/>
    <x v="0"/>
    <x v="0"/>
    <x v="148"/>
    <x v="0"/>
  </r>
  <r>
    <x v="435"/>
    <x v="435"/>
    <x v="34"/>
    <x v="0"/>
    <x v="0"/>
    <x v="15"/>
    <x v="1"/>
  </r>
  <r>
    <x v="436"/>
    <x v="436"/>
    <x v="11"/>
    <x v="0"/>
    <x v="0"/>
    <x v="20"/>
    <x v="1"/>
  </r>
  <r>
    <x v="437"/>
    <x v="437"/>
    <x v="39"/>
    <x v="1"/>
    <x v="0"/>
    <x v="105"/>
    <x v="1"/>
  </r>
  <r>
    <x v="438"/>
    <x v="438"/>
    <x v="23"/>
    <x v="1"/>
    <x v="1"/>
    <x v="10"/>
    <x v="1"/>
  </r>
  <r>
    <x v="439"/>
    <x v="439"/>
    <x v="11"/>
    <x v="0"/>
    <x v="0"/>
    <x v="235"/>
    <x v="3"/>
  </r>
  <r>
    <x v="440"/>
    <x v="440"/>
    <x v="37"/>
    <x v="0"/>
    <x v="2"/>
    <x v="114"/>
    <x v="3"/>
  </r>
  <r>
    <x v="441"/>
    <x v="441"/>
    <x v="3"/>
    <x v="0"/>
    <x v="1"/>
    <x v="168"/>
    <x v="2"/>
  </r>
  <r>
    <x v="442"/>
    <x v="442"/>
    <x v="17"/>
    <x v="1"/>
    <x v="1"/>
    <x v="187"/>
    <x v="3"/>
  </r>
  <r>
    <x v="443"/>
    <x v="443"/>
    <x v="40"/>
    <x v="1"/>
    <x v="0"/>
    <x v="137"/>
    <x v="0"/>
  </r>
  <r>
    <x v="444"/>
    <x v="444"/>
    <x v="27"/>
    <x v="1"/>
    <x v="1"/>
    <x v="79"/>
    <x v="1"/>
  </r>
  <r>
    <x v="445"/>
    <x v="445"/>
    <x v="17"/>
    <x v="0"/>
    <x v="2"/>
    <x v="210"/>
    <x v="1"/>
  </r>
  <r>
    <x v="446"/>
    <x v="446"/>
    <x v="2"/>
    <x v="1"/>
    <x v="0"/>
    <x v="112"/>
    <x v="1"/>
  </r>
  <r>
    <x v="447"/>
    <x v="447"/>
    <x v="36"/>
    <x v="0"/>
    <x v="0"/>
    <x v="177"/>
    <x v="0"/>
  </r>
  <r>
    <x v="448"/>
    <x v="448"/>
    <x v="12"/>
    <x v="1"/>
    <x v="0"/>
    <x v="177"/>
    <x v="0"/>
  </r>
  <r>
    <x v="449"/>
    <x v="449"/>
    <x v="16"/>
    <x v="0"/>
    <x v="2"/>
    <x v="14"/>
    <x v="0"/>
  </r>
  <r>
    <x v="450"/>
    <x v="450"/>
    <x v="9"/>
    <x v="1"/>
    <x v="0"/>
    <x v="164"/>
    <x v="1"/>
  </r>
  <r>
    <x v="451"/>
    <x v="451"/>
    <x v="40"/>
    <x v="1"/>
    <x v="2"/>
    <x v="110"/>
    <x v="1"/>
  </r>
  <r>
    <x v="452"/>
    <x v="452"/>
    <x v="31"/>
    <x v="0"/>
    <x v="1"/>
    <x v="236"/>
    <x v="0"/>
  </r>
  <r>
    <x v="453"/>
    <x v="453"/>
    <x v="24"/>
    <x v="0"/>
    <x v="0"/>
    <x v="201"/>
    <x v="0"/>
  </r>
  <r>
    <x v="454"/>
    <x v="454"/>
    <x v="17"/>
    <x v="1"/>
    <x v="2"/>
    <x v="0"/>
    <x v="0"/>
  </r>
  <r>
    <x v="455"/>
    <x v="455"/>
    <x v="8"/>
    <x v="1"/>
    <x v="0"/>
    <x v="237"/>
    <x v="0"/>
  </r>
  <r>
    <x v="456"/>
    <x v="456"/>
    <x v="33"/>
    <x v="0"/>
    <x v="0"/>
    <x v="62"/>
    <x v="2"/>
  </r>
  <r>
    <x v="457"/>
    <x v="457"/>
    <x v="23"/>
    <x v="1"/>
    <x v="0"/>
    <x v="169"/>
    <x v="1"/>
  </r>
  <r>
    <x v="458"/>
    <x v="458"/>
    <x v="11"/>
    <x v="0"/>
    <x v="2"/>
    <x v="236"/>
    <x v="0"/>
  </r>
  <r>
    <x v="459"/>
    <x v="459"/>
    <x v="18"/>
    <x v="1"/>
    <x v="0"/>
    <x v="150"/>
    <x v="0"/>
  </r>
  <r>
    <x v="460"/>
    <x v="460"/>
    <x v="38"/>
    <x v="1"/>
    <x v="0"/>
    <x v="190"/>
    <x v="3"/>
  </r>
  <r>
    <x v="461"/>
    <x v="461"/>
    <x v="14"/>
    <x v="0"/>
    <x v="0"/>
    <x v="222"/>
    <x v="1"/>
  </r>
  <r>
    <x v="462"/>
    <x v="462"/>
    <x v="16"/>
    <x v="0"/>
    <x v="2"/>
    <x v="149"/>
    <x v="0"/>
  </r>
  <r>
    <x v="463"/>
    <x v="463"/>
    <x v="33"/>
    <x v="0"/>
    <x v="0"/>
    <x v="190"/>
    <x v="3"/>
  </r>
  <r>
    <x v="464"/>
    <x v="464"/>
    <x v="21"/>
    <x v="1"/>
    <x v="1"/>
    <x v="53"/>
    <x v="1"/>
  </r>
  <r>
    <x v="465"/>
    <x v="465"/>
    <x v="34"/>
    <x v="0"/>
    <x v="2"/>
    <x v="49"/>
    <x v="2"/>
  </r>
  <r>
    <x v="466"/>
    <x v="466"/>
    <x v="1"/>
    <x v="1"/>
    <x v="0"/>
    <x v="206"/>
    <x v="2"/>
  </r>
  <r>
    <x v="467"/>
    <x v="467"/>
    <x v="21"/>
    <x v="0"/>
    <x v="0"/>
    <x v="154"/>
    <x v="0"/>
  </r>
  <r>
    <x v="468"/>
    <x v="468"/>
    <x v="16"/>
    <x v="0"/>
    <x v="2"/>
    <x v="168"/>
    <x v="2"/>
  </r>
  <r>
    <x v="469"/>
    <x v="469"/>
    <x v="14"/>
    <x v="1"/>
    <x v="1"/>
    <x v="174"/>
    <x v="3"/>
  </r>
  <r>
    <x v="470"/>
    <x v="470"/>
    <x v="22"/>
    <x v="1"/>
    <x v="2"/>
    <x v="238"/>
    <x v="0"/>
  </r>
  <r>
    <x v="471"/>
    <x v="471"/>
    <x v="15"/>
    <x v="1"/>
    <x v="2"/>
    <x v="194"/>
    <x v="3"/>
  </r>
  <r>
    <x v="472"/>
    <x v="472"/>
    <x v="31"/>
    <x v="0"/>
    <x v="0"/>
    <x v="188"/>
    <x v="0"/>
  </r>
  <r>
    <x v="473"/>
    <x v="473"/>
    <x v="16"/>
    <x v="1"/>
    <x v="1"/>
    <x v="52"/>
    <x v="1"/>
  </r>
  <r>
    <x v="474"/>
    <x v="474"/>
    <x v="14"/>
    <x v="1"/>
    <x v="2"/>
    <x v="234"/>
    <x v="1"/>
  </r>
  <r>
    <x v="475"/>
    <x v="475"/>
    <x v="24"/>
    <x v="1"/>
    <x v="1"/>
    <x v="19"/>
    <x v="3"/>
  </r>
  <r>
    <x v="476"/>
    <x v="476"/>
    <x v="36"/>
    <x v="1"/>
    <x v="0"/>
    <x v="183"/>
    <x v="3"/>
  </r>
  <r>
    <x v="477"/>
    <x v="477"/>
    <x v="11"/>
    <x v="0"/>
    <x v="0"/>
    <x v="76"/>
    <x v="3"/>
  </r>
  <r>
    <x v="478"/>
    <x v="478"/>
    <x v="44"/>
    <x v="0"/>
    <x v="0"/>
    <x v="2"/>
    <x v="0"/>
  </r>
  <r>
    <x v="479"/>
    <x v="479"/>
    <x v="30"/>
    <x v="1"/>
    <x v="0"/>
    <x v="73"/>
    <x v="1"/>
  </r>
  <r>
    <x v="480"/>
    <x v="480"/>
    <x v="0"/>
    <x v="1"/>
    <x v="1"/>
    <x v="109"/>
    <x v="0"/>
  </r>
  <r>
    <x v="481"/>
    <x v="481"/>
    <x v="30"/>
    <x v="1"/>
    <x v="1"/>
    <x v="133"/>
    <x v="0"/>
  </r>
  <r>
    <x v="482"/>
    <x v="482"/>
    <x v="44"/>
    <x v="0"/>
    <x v="1"/>
    <x v="114"/>
    <x v="3"/>
  </r>
  <r>
    <x v="483"/>
    <x v="483"/>
    <x v="37"/>
    <x v="0"/>
    <x v="2"/>
    <x v="41"/>
    <x v="0"/>
  </r>
  <r>
    <x v="484"/>
    <x v="484"/>
    <x v="5"/>
    <x v="0"/>
    <x v="0"/>
    <x v="239"/>
    <x v="0"/>
  </r>
  <r>
    <x v="485"/>
    <x v="485"/>
    <x v="5"/>
    <x v="0"/>
    <x v="1"/>
    <x v="209"/>
    <x v="2"/>
  </r>
  <r>
    <x v="486"/>
    <x v="486"/>
    <x v="22"/>
    <x v="1"/>
    <x v="0"/>
    <x v="240"/>
    <x v="0"/>
  </r>
  <r>
    <x v="487"/>
    <x v="487"/>
    <x v="28"/>
    <x v="1"/>
    <x v="0"/>
    <x v="241"/>
    <x v="3"/>
  </r>
  <r>
    <x v="488"/>
    <x v="488"/>
    <x v="33"/>
    <x v="0"/>
    <x v="1"/>
    <x v="59"/>
    <x v="3"/>
  </r>
  <r>
    <x v="489"/>
    <x v="489"/>
    <x v="18"/>
    <x v="1"/>
    <x v="2"/>
    <x v="242"/>
    <x v="1"/>
  </r>
  <r>
    <x v="490"/>
    <x v="490"/>
    <x v="22"/>
    <x v="1"/>
    <x v="1"/>
    <x v="56"/>
    <x v="1"/>
  </r>
  <r>
    <x v="491"/>
    <x v="491"/>
    <x v="1"/>
    <x v="1"/>
    <x v="2"/>
    <x v="84"/>
    <x v="0"/>
  </r>
  <r>
    <x v="492"/>
    <x v="492"/>
    <x v="10"/>
    <x v="0"/>
    <x v="0"/>
    <x v="91"/>
    <x v="1"/>
  </r>
  <r>
    <x v="493"/>
    <x v="493"/>
    <x v="18"/>
    <x v="0"/>
    <x v="0"/>
    <x v="143"/>
    <x v="3"/>
  </r>
  <r>
    <x v="494"/>
    <x v="494"/>
    <x v="25"/>
    <x v="0"/>
    <x v="2"/>
    <x v="149"/>
    <x v="0"/>
  </r>
  <r>
    <x v="495"/>
    <x v="495"/>
    <x v="26"/>
    <x v="0"/>
    <x v="0"/>
    <x v="57"/>
    <x v="1"/>
  </r>
  <r>
    <x v="496"/>
    <x v="496"/>
    <x v="16"/>
    <x v="0"/>
    <x v="2"/>
    <x v="243"/>
    <x v="0"/>
  </r>
  <r>
    <x v="497"/>
    <x v="497"/>
    <x v="31"/>
    <x v="0"/>
    <x v="0"/>
    <x v="243"/>
    <x v="0"/>
  </r>
  <r>
    <x v="498"/>
    <x v="498"/>
    <x v="25"/>
    <x v="1"/>
    <x v="1"/>
    <x v="122"/>
    <x v="0"/>
  </r>
  <r>
    <x v="499"/>
    <x v="499"/>
    <x v="40"/>
    <x v="1"/>
    <x v="1"/>
    <x v="115"/>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x v="0"/>
    <x v="0"/>
  </r>
  <r>
    <x v="1"/>
    <x v="1"/>
    <x v="1"/>
    <x v="1"/>
    <x v="0"/>
    <x v="1"/>
    <x v="0"/>
    <x v="0"/>
  </r>
  <r>
    <x v="2"/>
    <x v="2"/>
    <x v="2"/>
    <x v="0"/>
    <x v="1"/>
    <x v="2"/>
    <x v="0"/>
    <x v="0"/>
  </r>
  <r>
    <x v="3"/>
    <x v="3"/>
    <x v="3"/>
    <x v="2"/>
    <x v="2"/>
    <x v="3"/>
    <x v="1"/>
    <x v="1"/>
  </r>
  <r>
    <x v="4"/>
    <x v="4"/>
    <x v="4"/>
    <x v="3"/>
    <x v="0"/>
    <x v="4"/>
    <x v="0"/>
    <x v="0"/>
  </r>
  <r>
    <x v="5"/>
    <x v="5"/>
    <x v="5"/>
    <x v="3"/>
    <x v="3"/>
    <x v="5"/>
    <x v="0"/>
    <x v="0"/>
  </r>
  <r>
    <x v="6"/>
    <x v="6"/>
    <x v="0"/>
    <x v="2"/>
    <x v="4"/>
    <x v="6"/>
    <x v="0"/>
    <x v="0"/>
  </r>
  <r>
    <x v="7"/>
    <x v="7"/>
    <x v="0"/>
    <x v="3"/>
    <x v="5"/>
    <x v="7"/>
    <x v="0"/>
    <x v="0"/>
  </r>
  <r>
    <x v="8"/>
    <x v="8"/>
    <x v="0"/>
    <x v="2"/>
    <x v="6"/>
    <x v="5"/>
    <x v="0"/>
    <x v="0"/>
  </r>
  <r>
    <x v="9"/>
    <x v="9"/>
    <x v="0"/>
    <x v="2"/>
    <x v="7"/>
    <x v="8"/>
    <x v="0"/>
    <x v="0"/>
  </r>
  <r>
    <x v="10"/>
    <x v="10"/>
    <x v="4"/>
    <x v="2"/>
    <x v="8"/>
    <x v="9"/>
    <x v="0"/>
    <x v="0"/>
  </r>
  <r>
    <x v="11"/>
    <x v="11"/>
    <x v="5"/>
    <x v="3"/>
    <x v="9"/>
    <x v="10"/>
    <x v="0"/>
    <x v="0"/>
  </r>
  <r>
    <x v="12"/>
    <x v="12"/>
    <x v="6"/>
    <x v="0"/>
    <x v="10"/>
    <x v="11"/>
    <x v="0"/>
    <x v="0"/>
  </r>
  <r>
    <x v="13"/>
    <x v="13"/>
    <x v="0"/>
    <x v="3"/>
    <x v="11"/>
    <x v="9"/>
    <x v="0"/>
    <x v="0"/>
  </r>
  <r>
    <x v="14"/>
    <x v="14"/>
    <x v="2"/>
    <x v="3"/>
    <x v="12"/>
    <x v="12"/>
    <x v="0"/>
    <x v="0"/>
  </r>
  <r>
    <x v="15"/>
    <x v="15"/>
    <x v="7"/>
    <x v="1"/>
    <x v="13"/>
    <x v="13"/>
    <x v="0"/>
    <x v="0"/>
  </r>
  <r>
    <x v="16"/>
    <x v="16"/>
    <x v="8"/>
    <x v="3"/>
    <x v="14"/>
    <x v="14"/>
    <x v="0"/>
    <x v="0"/>
  </r>
  <r>
    <x v="17"/>
    <x v="17"/>
    <x v="1"/>
    <x v="2"/>
    <x v="3"/>
    <x v="15"/>
    <x v="1"/>
    <x v="1"/>
  </r>
  <r>
    <x v="18"/>
    <x v="18"/>
    <x v="6"/>
    <x v="3"/>
    <x v="15"/>
    <x v="5"/>
    <x v="0"/>
    <x v="0"/>
  </r>
  <r>
    <x v="19"/>
    <x v="19"/>
    <x v="7"/>
    <x v="1"/>
    <x v="16"/>
    <x v="16"/>
    <x v="0"/>
    <x v="0"/>
  </r>
  <r>
    <x v="20"/>
    <x v="20"/>
    <x v="3"/>
    <x v="0"/>
    <x v="17"/>
    <x v="17"/>
    <x v="0"/>
    <x v="0"/>
  </r>
  <r>
    <x v="21"/>
    <x v="21"/>
    <x v="3"/>
    <x v="2"/>
    <x v="18"/>
    <x v="3"/>
    <x v="0"/>
    <x v="0"/>
  </r>
  <r>
    <x v="22"/>
    <x v="22"/>
    <x v="2"/>
    <x v="0"/>
    <x v="19"/>
    <x v="17"/>
    <x v="0"/>
    <x v="0"/>
  </r>
  <r>
    <x v="23"/>
    <x v="23"/>
    <x v="2"/>
    <x v="2"/>
    <x v="20"/>
    <x v="18"/>
    <x v="0"/>
    <x v="0"/>
  </r>
  <r>
    <x v="24"/>
    <x v="24"/>
    <x v="2"/>
    <x v="0"/>
    <x v="21"/>
    <x v="3"/>
    <x v="0"/>
    <x v="0"/>
  </r>
  <r>
    <x v="25"/>
    <x v="10"/>
    <x v="9"/>
    <x v="1"/>
    <x v="20"/>
    <x v="18"/>
    <x v="1"/>
    <x v="1"/>
  </r>
  <r>
    <x v="26"/>
    <x v="25"/>
    <x v="9"/>
    <x v="2"/>
    <x v="22"/>
    <x v="19"/>
    <x v="0"/>
    <x v="0"/>
  </r>
  <r>
    <x v="27"/>
    <x v="26"/>
    <x v="5"/>
    <x v="1"/>
    <x v="23"/>
    <x v="20"/>
    <x v="0"/>
    <x v="0"/>
  </r>
  <r>
    <x v="28"/>
    <x v="27"/>
    <x v="6"/>
    <x v="3"/>
    <x v="24"/>
    <x v="5"/>
    <x v="0"/>
    <x v="0"/>
  </r>
  <r>
    <x v="29"/>
    <x v="28"/>
    <x v="8"/>
    <x v="1"/>
    <x v="25"/>
    <x v="21"/>
    <x v="0"/>
    <x v="0"/>
  </r>
  <r>
    <x v="30"/>
    <x v="29"/>
    <x v="0"/>
    <x v="0"/>
    <x v="4"/>
    <x v="22"/>
    <x v="1"/>
    <x v="1"/>
  </r>
  <r>
    <x v="31"/>
    <x v="30"/>
    <x v="3"/>
    <x v="3"/>
    <x v="26"/>
    <x v="23"/>
    <x v="0"/>
    <x v="0"/>
  </r>
  <r>
    <x v="32"/>
    <x v="31"/>
    <x v="2"/>
    <x v="2"/>
    <x v="27"/>
    <x v="11"/>
    <x v="0"/>
    <x v="0"/>
  </r>
  <r>
    <x v="33"/>
    <x v="32"/>
    <x v="9"/>
    <x v="0"/>
    <x v="17"/>
    <x v="4"/>
    <x v="0"/>
    <x v="0"/>
  </r>
  <r>
    <x v="34"/>
    <x v="33"/>
    <x v="8"/>
    <x v="1"/>
    <x v="28"/>
    <x v="12"/>
    <x v="1"/>
    <x v="1"/>
  </r>
  <r>
    <x v="35"/>
    <x v="34"/>
    <x v="0"/>
    <x v="2"/>
    <x v="29"/>
    <x v="24"/>
    <x v="0"/>
    <x v="0"/>
  </r>
  <r>
    <x v="36"/>
    <x v="35"/>
    <x v="5"/>
    <x v="2"/>
    <x v="30"/>
    <x v="4"/>
    <x v="0"/>
    <x v="0"/>
  </r>
  <r>
    <x v="37"/>
    <x v="36"/>
    <x v="0"/>
    <x v="2"/>
    <x v="31"/>
    <x v="13"/>
    <x v="1"/>
    <x v="1"/>
  </r>
  <r>
    <x v="38"/>
    <x v="37"/>
    <x v="5"/>
    <x v="1"/>
    <x v="8"/>
    <x v="16"/>
    <x v="1"/>
    <x v="1"/>
  </r>
  <r>
    <x v="39"/>
    <x v="38"/>
    <x v="0"/>
    <x v="0"/>
    <x v="32"/>
    <x v="20"/>
    <x v="0"/>
    <x v="0"/>
  </r>
  <r>
    <x v="40"/>
    <x v="21"/>
    <x v="3"/>
    <x v="2"/>
    <x v="33"/>
    <x v="25"/>
    <x v="0"/>
    <x v="0"/>
  </r>
  <r>
    <x v="41"/>
    <x v="39"/>
    <x v="6"/>
    <x v="2"/>
    <x v="34"/>
    <x v="26"/>
    <x v="0"/>
    <x v="0"/>
  </r>
  <r>
    <x v="42"/>
    <x v="40"/>
    <x v="9"/>
    <x v="0"/>
    <x v="35"/>
    <x v="27"/>
    <x v="0"/>
    <x v="0"/>
  </r>
  <r>
    <x v="43"/>
    <x v="41"/>
    <x v="9"/>
    <x v="1"/>
    <x v="36"/>
    <x v="28"/>
    <x v="0"/>
    <x v="0"/>
  </r>
  <r>
    <x v="44"/>
    <x v="42"/>
    <x v="5"/>
    <x v="0"/>
    <x v="33"/>
    <x v="29"/>
    <x v="0"/>
    <x v="0"/>
  </r>
  <r>
    <x v="45"/>
    <x v="43"/>
    <x v="7"/>
    <x v="2"/>
    <x v="37"/>
    <x v="30"/>
    <x v="0"/>
    <x v="0"/>
  </r>
  <r>
    <x v="46"/>
    <x v="44"/>
    <x v="3"/>
    <x v="3"/>
    <x v="38"/>
    <x v="18"/>
    <x v="0"/>
    <x v="0"/>
  </r>
  <r>
    <x v="47"/>
    <x v="45"/>
    <x v="6"/>
    <x v="2"/>
    <x v="22"/>
    <x v="27"/>
    <x v="0"/>
    <x v="0"/>
  </r>
  <r>
    <x v="48"/>
    <x v="46"/>
    <x v="2"/>
    <x v="3"/>
    <x v="39"/>
    <x v="23"/>
    <x v="0"/>
    <x v="0"/>
  </r>
  <r>
    <x v="49"/>
    <x v="47"/>
    <x v="8"/>
    <x v="1"/>
    <x v="40"/>
    <x v="31"/>
    <x v="0"/>
    <x v="0"/>
  </r>
  <r>
    <x v="50"/>
    <x v="48"/>
    <x v="7"/>
    <x v="1"/>
    <x v="41"/>
    <x v="28"/>
    <x v="0"/>
    <x v="0"/>
  </r>
  <r>
    <x v="51"/>
    <x v="49"/>
    <x v="8"/>
    <x v="1"/>
    <x v="39"/>
    <x v="22"/>
    <x v="0"/>
    <x v="0"/>
  </r>
  <r>
    <x v="52"/>
    <x v="50"/>
    <x v="9"/>
    <x v="1"/>
    <x v="8"/>
    <x v="22"/>
    <x v="0"/>
    <x v="0"/>
  </r>
  <r>
    <x v="53"/>
    <x v="51"/>
    <x v="4"/>
    <x v="0"/>
    <x v="42"/>
    <x v="4"/>
    <x v="0"/>
    <x v="0"/>
  </r>
  <r>
    <x v="54"/>
    <x v="52"/>
    <x v="8"/>
    <x v="0"/>
    <x v="43"/>
    <x v="32"/>
    <x v="1"/>
    <x v="1"/>
  </r>
  <r>
    <x v="55"/>
    <x v="53"/>
    <x v="0"/>
    <x v="0"/>
    <x v="44"/>
    <x v="1"/>
    <x v="0"/>
    <x v="0"/>
  </r>
  <r>
    <x v="56"/>
    <x v="54"/>
    <x v="8"/>
    <x v="0"/>
    <x v="26"/>
    <x v="33"/>
    <x v="1"/>
    <x v="1"/>
  </r>
  <r>
    <x v="57"/>
    <x v="55"/>
    <x v="2"/>
    <x v="3"/>
    <x v="45"/>
    <x v="30"/>
    <x v="0"/>
    <x v="0"/>
  </r>
  <r>
    <x v="58"/>
    <x v="56"/>
    <x v="7"/>
    <x v="0"/>
    <x v="7"/>
    <x v="1"/>
    <x v="0"/>
    <x v="0"/>
  </r>
  <r>
    <x v="59"/>
    <x v="13"/>
    <x v="4"/>
    <x v="3"/>
    <x v="40"/>
    <x v="15"/>
    <x v="1"/>
    <x v="1"/>
  </r>
  <r>
    <x v="60"/>
    <x v="57"/>
    <x v="6"/>
    <x v="2"/>
    <x v="20"/>
    <x v="34"/>
    <x v="0"/>
    <x v="0"/>
  </r>
  <r>
    <x v="61"/>
    <x v="58"/>
    <x v="1"/>
    <x v="0"/>
    <x v="46"/>
    <x v="16"/>
    <x v="1"/>
    <x v="1"/>
  </r>
  <r>
    <x v="62"/>
    <x v="59"/>
    <x v="2"/>
    <x v="0"/>
    <x v="47"/>
    <x v="1"/>
    <x v="0"/>
    <x v="0"/>
  </r>
  <r>
    <x v="63"/>
    <x v="60"/>
    <x v="5"/>
    <x v="0"/>
    <x v="22"/>
    <x v="4"/>
    <x v="1"/>
    <x v="1"/>
  </r>
  <r>
    <x v="64"/>
    <x v="61"/>
    <x v="2"/>
    <x v="3"/>
    <x v="37"/>
    <x v="21"/>
    <x v="0"/>
    <x v="0"/>
  </r>
  <r>
    <x v="65"/>
    <x v="62"/>
    <x v="6"/>
    <x v="1"/>
    <x v="48"/>
    <x v="35"/>
    <x v="0"/>
    <x v="0"/>
  </r>
  <r>
    <x v="66"/>
    <x v="63"/>
    <x v="1"/>
    <x v="2"/>
    <x v="49"/>
    <x v="33"/>
    <x v="0"/>
    <x v="0"/>
  </r>
  <r>
    <x v="67"/>
    <x v="64"/>
    <x v="4"/>
    <x v="3"/>
    <x v="34"/>
    <x v="11"/>
    <x v="0"/>
    <x v="0"/>
  </r>
  <r>
    <x v="68"/>
    <x v="65"/>
    <x v="0"/>
    <x v="3"/>
    <x v="42"/>
    <x v="30"/>
    <x v="0"/>
    <x v="0"/>
  </r>
  <r>
    <x v="69"/>
    <x v="66"/>
    <x v="8"/>
    <x v="1"/>
    <x v="12"/>
    <x v="33"/>
    <x v="0"/>
    <x v="0"/>
  </r>
  <r>
    <x v="70"/>
    <x v="67"/>
    <x v="0"/>
    <x v="3"/>
    <x v="1"/>
    <x v="2"/>
    <x v="0"/>
    <x v="0"/>
  </r>
  <r>
    <x v="71"/>
    <x v="22"/>
    <x v="5"/>
    <x v="0"/>
    <x v="17"/>
    <x v="22"/>
    <x v="0"/>
    <x v="0"/>
  </r>
  <r>
    <x v="72"/>
    <x v="68"/>
    <x v="3"/>
    <x v="2"/>
    <x v="37"/>
    <x v="36"/>
    <x v="0"/>
    <x v="0"/>
  </r>
  <r>
    <x v="73"/>
    <x v="69"/>
    <x v="8"/>
    <x v="3"/>
    <x v="20"/>
    <x v="23"/>
    <x v="0"/>
    <x v="0"/>
  </r>
  <r>
    <x v="74"/>
    <x v="70"/>
    <x v="9"/>
    <x v="3"/>
    <x v="26"/>
    <x v="17"/>
    <x v="1"/>
    <x v="1"/>
  </r>
  <r>
    <x v="75"/>
    <x v="71"/>
    <x v="0"/>
    <x v="0"/>
    <x v="26"/>
    <x v="7"/>
    <x v="0"/>
    <x v="0"/>
  </r>
  <r>
    <x v="76"/>
    <x v="72"/>
    <x v="9"/>
    <x v="3"/>
    <x v="50"/>
    <x v="7"/>
    <x v="0"/>
    <x v="0"/>
  </r>
  <r>
    <x v="77"/>
    <x v="73"/>
    <x v="4"/>
    <x v="3"/>
    <x v="51"/>
    <x v="7"/>
    <x v="0"/>
    <x v="0"/>
  </r>
  <r>
    <x v="78"/>
    <x v="72"/>
    <x v="4"/>
    <x v="3"/>
    <x v="52"/>
    <x v="37"/>
    <x v="0"/>
    <x v="0"/>
  </r>
  <r>
    <x v="79"/>
    <x v="31"/>
    <x v="3"/>
    <x v="1"/>
    <x v="53"/>
    <x v="25"/>
    <x v="0"/>
    <x v="0"/>
  </r>
  <r>
    <x v="80"/>
    <x v="74"/>
    <x v="1"/>
    <x v="3"/>
    <x v="54"/>
    <x v="14"/>
    <x v="0"/>
    <x v="0"/>
  </r>
  <r>
    <x v="81"/>
    <x v="75"/>
    <x v="7"/>
    <x v="2"/>
    <x v="55"/>
    <x v="34"/>
    <x v="0"/>
    <x v="0"/>
  </r>
  <r>
    <x v="82"/>
    <x v="76"/>
    <x v="4"/>
    <x v="3"/>
    <x v="44"/>
    <x v="27"/>
    <x v="1"/>
    <x v="1"/>
  </r>
  <r>
    <x v="83"/>
    <x v="77"/>
    <x v="8"/>
    <x v="0"/>
    <x v="3"/>
    <x v="35"/>
    <x v="1"/>
    <x v="1"/>
  </r>
  <r>
    <x v="84"/>
    <x v="78"/>
    <x v="5"/>
    <x v="1"/>
    <x v="56"/>
    <x v="9"/>
    <x v="0"/>
    <x v="0"/>
  </r>
  <r>
    <x v="85"/>
    <x v="79"/>
    <x v="3"/>
    <x v="0"/>
    <x v="11"/>
    <x v="9"/>
    <x v="1"/>
    <x v="1"/>
  </r>
  <r>
    <x v="86"/>
    <x v="80"/>
    <x v="7"/>
    <x v="0"/>
    <x v="25"/>
    <x v="34"/>
    <x v="0"/>
    <x v="0"/>
  </r>
  <r>
    <x v="87"/>
    <x v="81"/>
    <x v="8"/>
    <x v="1"/>
    <x v="57"/>
    <x v="29"/>
    <x v="0"/>
    <x v="0"/>
  </r>
  <r>
    <x v="88"/>
    <x v="82"/>
    <x v="4"/>
    <x v="2"/>
    <x v="58"/>
    <x v="4"/>
    <x v="0"/>
    <x v="0"/>
  </r>
  <r>
    <x v="89"/>
    <x v="83"/>
    <x v="8"/>
    <x v="0"/>
    <x v="59"/>
    <x v="17"/>
    <x v="0"/>
    <x v="0"/>
  </r>
  <r>
    <x v="90"/>
    <x v="0"/>
    <x v="1"/>
    <x v="0"/>
    <x v="14"/>
    <x v="19"/>
    <x v="1"/>
    <x v="1"/>
  </r>
  <r>
    <x v="91"/>
    <x v="84"/>
    <x v="5"/>
    <x v="2"/>
    <x v="41"/>
    <x v="33"/>
    <x v="1"/>
    <x v="1"/>
  </r>
  <r>
    <x v="92"/>
    <x v="85"/>
    <x v="4"/>
    <x v="2"/>
    <x v="60"/>
    <x v="20"/>
    <x v="0"/>
    <x v="0"/>
  </r>
  <r>
    <x v="93"/>
    <x v="86"/>
    <x v="4"/>
    <x v="3"/>
    <x v="47"/>
    <x v="38"/>
    <x v="0"/>
    <x v="0"/>
  </r>
  <r>
    <x v="94"/>
    <x v="87"/>
    <x v="5"/>
    <x v="2"/>
    <x v="61"/>
    <x v="8"/>
    <x v="0"/>
    <x v="0"/>
  </r>
  <r>
    <x v="95"/>
    <x v="88"/>
    <x v="3"/>
    <x v="0"/>
    <x v="36"/>
    <x v="19"/>
    <x v="0"/>
    <x v="0"/>
  </r>
  <r>
    <x v="96"/>
    <x v="71"/>
    <x v="5"/>
    <x v="0"/>
    <x v="62"/>
    <x v="39"/>
    <x v="0"/>
    <x v="0"/>
  </r>
  <r>
    <x v="97"/>
    <x v="89"/>
    <x v="2"/>
    <x v="2"/>
    <x v="2"/>
    <x v="9"/>
    <x v="0"/>
    <x v="0"/>
  </r>
  <r>
    <x v="98"/>
    <x v="90"/>
    <x v="4"/>
    <x v="2"/>
    <x v="15"/>
    <x v="20"/>
    <x v="0"/>
    <x v="0"/>
  </r>
  <r>
    <x v="99"/>
    <x v="91"/>
    <x v="5"/>
    <x v="1"/>
    <x v="21"/>
    <x v="1"/>
    <x v="0"/>
    <x v="0"/>
  </r>
  <r>
    <x v="100"/>
    <x v="92"/>
    <x v="2"/>
    <x v="3"/>
    <x v="63"/>
    <x v="22"/>
    <x v="0"/>
    <x v="0"/>
  </r>
  <r>
    <x v="101"/>
    <x v="86"/>
    <x v="1"/>
    <x v="3"/>
    <x v="56"/>
    <x v="13"/>
    <x v="0"/>
    <x v="0"/>
  </r>
  <r>
    <x v="102"/>
    <x v="74"/>
    <x v="9"/>
    <x v="3"/>
    <x v="63"/>
    <x v="36"/>
    <x v="0"/>
    <x v="0"/>
  </r>
  <r>
    <x v="103"/>
    <x v="93"/>
    <x v="6"/>
    <x v="1"/>
    <x v="64"/>
    <x v="13"/>
    <x v="0"/>
    <x v="0"/>
  </r>
  <r>
    <x v="104"/>
    <x v="94"/>
    <x v="4"/>
    <x v="0"/>
    <x v="65"/>
    <x v="17"/>
    <x v="0"/>
    <x v="0"/>
  </r>
  <r>
    <x v="105"/>
    <x v="95"/>
    <x v="8"/>
    <x v="1"/>
    <x v="40"/>
    <x v="1"/>
    <x v="0"/>
    <x v="0"/>
  </r>
  <r>
    <x v="106"/>
    <x v="96"/>
    <x v="6"/>
    <x v="0"/>
    <x v="52"/>
    <x v="35"/>
    <x v="0"/>
    <x v="0"/>
  </r>
  <r>
    <x v="107"/>
    <x v="24"/>
    <x v="9"/>
    <x v="0"/>
    <x v="32"/>
    <x v="25"/>
    <x v="0"/>
    <x v="0"/>
  </r>
  <r>
    <x v="108"/>
    <x v="97"/>
    <x v="9"/>
    <x v="0"/>
    <x v="15"/>
    <x v="9"/>
    <x v="0"/>
    <x v="0"/>
  </r>
  <r>
    <x v="109"/>
    <x v="98"/>
    <x v="7"/>
    <x v="3"/>
    <x v="37"/>
    <x v="21"/>
    <x v="0"/>
    <x v="0"/>
  </r>
  <r>
    <x v="110"/>
    <x v="61"/>
    <x v="3"/>
    <x v="2"/>
    <x v="50"/>
    <x v="31"/>
    <x v="0"/>
    <x v="0"/>
  </r>
  <r>
    <x v="111"/>
    <x v="99"/>
    <x v="4"/>
    <x v="1"/>
    <x v="42"/>
    <x v="2"/>
    <x v="1"/>
    <x v="1"/>
  </r>
  <r>
    <x v="112"/>
    <x v="100"/>
    <x v="5"/>
    <x v="1"/>
    <x v="65"/>
    <x v="19"/>
    <x v="0"/>
    <x v="0"/>
  </r>
  <r>
    <x v="113"/>
    <x v="101"/>
    <x v="3"/>
    <x v="3"/>
    <x v="66"/>
    <x v="5"/>
    <x v="0"/>
    <x v="0"/>
  </r>
  <r>
    <x v="114"/>
    <x v="102"/>
    <x v="0"/>
    <x v="0"/>
    <x v="67"/>
    <x v="28"/>
    <x v="0"/>
    <x v="0"/>
  </r>
  <r>
    <x v="115"/>
    <x v="103"/>
    <x v="9"/>
    <x v="3"/>
    <x v="65"/>
    <x v="12"/>
    <x v="1"/>
    <x v="1"/>
  </r>
  <r>
    <x v="116"/>
    <x v="104"/>
    <x v="1"/>
    <x v="1"/>
    <x v="18"/>
    <x v="27"/>
    <x v="0"/>
    <x v="0"/>
  </r>
  <r>
    <x v="117"/>
    <x v="105"/>
    <x v="3"/>
    <x v="1"/>
    <x v="57"/>
    <x v="32"/>
    <x v="0"/>
    <x v="0"/>
  </r>
  <r>
    <x v="118"/>
    <x v="106"/>
    <x v="0"/>
    <x v="2"/>
    <x v="68"/>
    <x v="19"/>
    <x v="0"/>
    <x v="0"/>
  </r>
  <r>
    <x v="119"/>
    <x v="107"/>
    <x v="3"/>
    <x v="1"/>
    <x v="64"/>
    <x v="7"/>
    <x v="0"/>
    <x v="0"/>
  </r>
  <r>
    <x v="120"/>
    <x v="83"/>
    <x v="1"/>
    <x v="0"/>
    <x v="20"/>
    <x v="9"/>
    <x v="1"/>
    <x v="1"/>
  </r>
  <r>
    <x v="121"/>
    <x v="108"/>
    <x v="7"/>
    <x v="2"/>
    <x v="27"/>
    <x v="32"/>
    <x v="0"/>
    <x v="0"/>
  </r>
  <r>
    <x v="122"/>
    <x v="109"/>
    <x v="7"/>
    <x v="2"/>
    <x v="17"/>
    <x v="13"/>
    <x v="0"/>
    <x v="0"/>
  </r>
  <r>
    <x v="123"/>
    <x v="78"/>
    <x v="6"/>
    <x v="0"/>
    <x v="18"/>
    <x v="27"/>
    <x v="0"/>
    <x v="0"/>
  </r>
  <r>
    <x v="124"/>
    <x v="110"/>
    <x v="4"/>
    <x v="1"/>
    <x v="53"/>
    <x v="20"/>
    <x v="0"/>
    <x v="0"/>
  </r>
  <r>
    <x v="125"/>
    <x v="111"/>
    <x v="9"/>
    <x v="1"/>
    <x v="25"/>
    <x v="2"/>
    <x v="0"/>
    <x v="0"/>
  </r>
  <r>
    <x v="126"/>
    <x v="112"/>
    <x v="2"/>
    <x v="3"/>
    <x v="12"/>
    <x v="11"/>
    <x v="0"/>
    <x v="0"/>
  </r>
  <r>
    <x v="127"/>
    <x v="113"/>
    <x v="9"/>
    <x v="3"/>
    <x v="25"/>
    <x v="39"/>
    <x v="1"/>
    <x v="1"/>
  </r>
  <r>
    <x v="128"/>
    <x v="45"/>
    <x v="1"/>
    <x v="3"/>
    <x v="33"/>
    <x v="37"/>
    <x v="0"/>
    <x v="0"/>
  </r>
  <r>
    <x v="129"/>
    <x v="114"/>
    <x v="9"/>
    <x v="1"/>
    <x v="69"/>
    <x v="6"/>
    <x v="1"/>
    <x v="1"/>
  </r>
  <r>
    <x v="130"/>
    <x v="115"/>
    <x v="3"/>
    <x v="0"/>
    <x v="33"/>
    <x v="27"/>
    <x v="0"/>
    <x v="0"/>
  </r>
  <r>
    <x v="131"/>
    <x v="116"/>
    <x v="2"/>
    <x v="0"/>
    <x v="19"/>
    <x v="34"/>
    <x v="0"/>
    <x v="0"/>
  </r>
  <r>
    <x v="132"/>
    <x v="117"/>
    <x v="3"/>
    <x v="2"/>
    <x v="40"/>
    <x v="38"/>
    <x v="0"/>
    <x v="0"/>
  </r>
  <r>
    <x v="133"/>
    <x v="117"/>
    <x v="9"/>
    <x v="2"/>
    <x v="43"/>
    <x v="40"/>
    <x v="0"/>
    <x v="0"/>
  </r>
  <r>
    <x v="134"/>
    <x v="118"/>
    <x v="7"/>
    <x v="3"/>
    <x v="27"/>
    <x v="17"/>
    <x v="0"/>
    <x v="0"/>
  </r>
  <r>
    <x v="135"/>
    <x v="119"/>
    <x v="3"/>
    <x v="0"/>
    <x v="45"/>
    <x v="19"/>
    <x v="1"/>
    <x v="1"/>
  </r>
  <r>
    <x v="136"/>
    <x v="120"/>
    <x v="2"/>
    <x v="2"/>
    <x v="63"/>
    <x v="5"/>
    <x v="0"/>
    <x v="0"/>
  </r>
  <r>
    <x v="137"/>
    <x v="121"/>
    <x v="3"/>
    <x v="2"/>
    <x v="70"/>
    <x v="10"/>
    <x v="0"/>
    <x v="0"/>
  </r>
  <r>
    <x v="138"/>
    <x v="122"/>
    <x v="8"/>
    <x v="0"/>
    <x v="71"/>
    <x v="36"/>
    <x v="1"/>
    <x v="1"/>
  </r>
  <r>
    <x v="139"/>
    <x v="123"/>
    <x v="0"/>
    <x v="0"/>
    <x v="15"/>
    <x v="38"/>
    <x v="1"/>
    <x v="1"/>
  </r>
  <r>
    <x v="140"/>
    <x v="124"/>
    <x v="7"/>
    <x v="2"/>
    <x v="72"/>
    <x v="35"/>
    <x v="0"/>
    <x v="0"/>
  </r>
  <r>
    <x v="141"/>
    <x v="125"/>
    <x v="7"/>
    <x v="1"/>
    <x v="69"/>
    <x v="15"/>
    <x v="1"/>
    <x v="1"/>
  </r>
  <r>
    <x v="142"/>
    <x v="126"/>
    <x v="3"/>
    <x v="0"/>
    <x v="50"/>
    <x v="37"/>
    <x v="0"/>
    <x v="0"/>
  </r>
  <r>
    <x v="143"/>
    <x v="119"/>
    <x v="0"/>
    <x v="0"/>
    <x v="9"/>
    <x v="21"/>
    <x v="1"/>
    <x v="1"/>
  </r>
  <r>
    <x v="144"/>
    <x v="117"/>
    <x v="7"/>
    <x v="1"/>
    <x v="24"/>
    <x v="24"/>
    <x v="0"/>
    <x v="0"/>
  </r>
  <r>
    <x v="145"/>
    <x v="127"/>
    <x v="1"/>
    <x v="1"/>
    <x v="38"/>
    <x v="12"/>
    <x v="0"/>
    <x v="0"/>
  </r>
  <r>
    <x v="146"/>
    <x v="106"/>
    <x v="0"/>
    <x v="1"/>
    <x v="3"/>
    <x v="12"/>
    <x v="0"/>
    <x v="0"/>
  </r>
  <r>
    <x v="147"/>
    <x v="128"/>
    <x v="9"/>
    <x v="1"/>
    <x v="41"/>
    <x v="23"/>
    <x v="0"/>
    <x v="0"/>
  </r>
  <r>
    <x v="148"/>
    <x v="129"/>
    <x v="3"/>
    <x v="1"/>
    <x v="73"/>
    <x v="33"/>
    <x v="1"/>
    <x v="1"/>
  </r>
  <r>
    <x v="149"/>
    <x v="13"/>
    <x v="9"/>
    <x v="3"/>
    <x v="74"/>
    <x v="34"/>
    <x v="0"/>
    <x v="0"/>
  </r>
  <r>
    <x v="150"/>
    <x v="57"/>
    <x v="6"/>
    <x v="0"/>
    <x v="15"/>
    <x v="8"/>
    <x v="0"/>
    <x v="0"/>
  </r>
  <r>
    <x v="151"/>
    <x v="130"/>
    <x v="2"/>
    <x v="1"/>
    <x v="14"/>
    <x v="16"/>
    <x v="0"/>
    <x v="0"/>
  </r>
  <r>
    <x v="152"/>
    <x v="5"/>
    <x v="5"/>
    <x v="3"/>
    <x v="64"/>
    <x v="2"/>
    <x v="1"/>
    <x v="1"/>
  </r>
  <r>
    <x v="153"/>
    <x v="131"/>
    <x v="3"/>
    <x v="0"/>
    <x v="75"/>
    <x v="2"/>
    <x v="1"/>
    <x v="1"/>
  </r>
  <r>
    <x v="154"/>
    <x v="132"/>
    <x v="8"/>
    <x v="1"/>
    <x v="52"/>
    <x v="38"/>
    <x v="0"/>
    <x v="0"/>
  </r>
  <r>
    <x v="155"/>
    <x v="133"/>
    <x v="1"/>
    <x v="0"/>
    <x v="30"/>
    <x v="31"/>
    <x v="0"/>
    <x v="0"/>
  </r>
  <r>
    <x v="156"/>
    <x v="134"/>
    <x v="3"/>
    <x v="0"/>
    <x v="4"/>
    <x v="13"/>
    <x v="0"/>
    <x v="0"/>
  </r>
  <r>
    <x v="157"/>
    <x v="52"/>
    <x v="3"/>
    <x v="0"/>
    <x v="14"/>
    <x v="31"/>
    <x v="1"/>
    <x v="1"/>
  </r>
  <r>
    <x v="158"/>
    <x v="135"/>
    <x v="0"/>
    <x v="0"/>
    <x v="8"/>
    <x v="19"/>
    <x v="0"/>
    <x v="0"/>
  </r>
  <r>
    <x v="159"/>
    <x v="136"/>
    <x v="8"/>
    <x v="3"/>
    <x v="9"/>
    <x v="23"/>
    <x v="0"/>
    <x v="0"/>
  </r>
  <r>
    <x v="160"/>
    <x v="137"/>
    <x v="0"/>
    <x v="3"/>
    <x v="49"/>
    <x v="16"/>
    <x v="0"/>
    <x v="0"/>
  </r>
  <r>
    <x v="161"/>
    <x v="138"/>
    <x v="3"/>
    <x v="0"/>
    <x v="68"/>
    <x v="30"/>
    <x v="0"/>
    <x v="0"/>
  </r>
  <r>
    <x v="162"/>
    <x v="139"/>
    <x v="0"/>
    <x v="1"/>
    <x v="37"/>
    <x v="10"/>
    <x v="0"/>
    <x v="0"/>
  </r>
  <r>
    <x v="163"/>
    <x v="140"/>
    <x v="2"/>
    <x v="1"/>
    <x v="71"/>
    <x v="4"/>
    <x v="0"/>
    <x v="0"/>
  </r>
  <r>
    <x v="164"/>
    <x v="141"/>
    <x v="5"/>
    <x v="0"/>
    <x v="40"/>
    <x v="38"/>
    <x v="1"/>
    <x v="1"/>
  </r>
  <r>
    <x v="165"/>
    <x v="25"/>
    <x v="6"/>
    <x v="2"/>
    <x v="76"/>
    <x v="20"/>
    <x v="0"/>
    <x v="0"/>
  </r>
  <r>
    <x v="166"/>
    <x v="142"/>
    <x v="1"/>
    <x v="1"/>
    <x v="43"/>
    <x v="29"/>
    <x v="0"/>
    <x v="0"/>
  </r>
  <r>
    <x v="167"/>
    <x v="143"/>
    <x v="6"/>
    <x v="3"/>
    <x v="77"/>
    <x v="32"/>
    <x v="0"/>
    <x v="0"/>
  </r>
  <r>
    <x v="168"/>
    <x v="28"/>
    <x v="5"/>
    <x v="3"/>
    <x v="51"/>
    <x v="9"/>
    <x v="0"/>
    <x v="0"/>
  </r>
  <r>
    <x v="169"/>
    <x v="144"/>
    <x v="7"/>
    <x v="1"/>
    <x v="51"/>
    <x v="40"/>
    <x v="0"/>
    <x v="0"/>
  </r>
  <r>
    <x v="170"/>
    <x v="145"/>
    <x v="5"/>
    <x v="3"/>
    <x v="74"/>
    <x v="24"/>
    <x v="0"/>
    <x v="0"/>
  </r>
  <r>
    <x v="171"/>
    <x v="107"/>
    <x v="9"/>
    <x v="2"/>
    <x v="69"/>
    <x v="38"/>
    <x v="0"/>
    <x v="0"/>
  </r>
  <r>
    <x v="172"/>
    <x v="36"/>
    <x v="9"/>
    <x v="1"/>
    <x v="23"/>
    <x v="25"/>
    <x v="0"/>
    <x v="0"/>
  </r>
  <r>
    <x v="173"/>
    <x v="146"/>
    <x v="4"/>
    <x v="3"/>
    <x v="58"/>
    <x v="26"/>
    <x v="0"/>
    <x v="0"/>
  </r>
  <r>
    <x v="174"/>
    <x v="147"/>
    <x v="9"/>
    <x v="0"/>
    <x v="38"/>
    <x v="33"/>
    <x v="0"/>
    <x v="0"/>
  </r>
  <r>
    <x v="175"/>
    <x v="148"/>
    <x v="8"/>
    <x v="3"/>
    <x v="19"/>
    <x v="15"/>
    <x v="0"/>
    <x v="0"/>
  </r>
  <r>
    <x v="176"/>
    <x v="49"/>
    <x v="5"/>
    <x v="1"/>
    <x v="55"/>
    <x v="36"/>
    <x v="0"/>
    <x v="0"/>
  </r>
  <r>
    <x v="177"/>
    <x v="149"/>
    <x v="2"/>
    <x v="3"/>
    <x v="67"/>
    <x v="5"/>
    <x v="0"/>
    <x v="0"/>
  </r>
  <r>
    <x v="178"/>
    <x v="150"/>
    <x v="3"/>
    <x v="1"/>
    <x v="78"/>
    <x v="35"/>
    <x v="0"/>
    <x v="0"/>
  </r>
  <r>
    <x v="179"/>
    <x v="151"/>
    <x v="5"/>
    <x v="0"/>
    <x v="79"/>
    <x v="14"/>
    <x v="1"/>
    <x v="1"/>
  </r>
  <r>
    <x v="180"/>
    <x v="152"/>
    <x v="7"/>
    <x v="1"/>
    <x v="24"/>
    <x v="4"/>
    <x v="0"/>
    <x v="0"/>
  </r>
  <r>
    <x v="181"/>
    <x v="153"/>
    <x v="6"/>
    <x v="0"/>
    <x v="36"/>
    <x v="14"/>
    <x v="1"/>
    <x v="1"/>
  </r>
  <r>
    <x v="182"/>
    <x v="26"/>
    <x v="9"/>
    <x v="1"/>
    <x v="42"/>
    <x v="40"/>
    <x v="0"/>
    <x v="0"/>
  </r>
  <r>
    <x v="183"/>
    <x v="154"/>
    <x v="6"/>
    <x v="3"/>
    <x v="77"/>
    <x v="17"/>
    <x v="0"/>
    <x v="0"/>
  </r>
  <r>
    <x v="184"/>
    <x v="155"/>
    <x v="6"/>
    <x v="3"/>
    <x v="3"/>
    <x v="24"/>
    <x v="0"/>
    <x v="0"/>
  </r>
  <r>
    <x v="185"/>
    <x v="72"/>
    <x v="9"/>
    <x v="3"/>
    <x v="19"/>
    <x v="40"/>
    <x v="0"/>
    <x v="0"/>
  </r>
  <r>
    <x v="186"/>
    <x v="156"/>
    <x v="3"/>
    <x v="2"/>
    <x v="64"/>
    <x v="38"/>
    <x v="1"/>
    <x v="1"/>
  </r>
  <r>
    <x v="187"/>
    <x v="33"/>
    <x v="9"/>
    <x v="0"/>
    <x v="44"/>
    <x v="1"/>
    <x v="0"/>
    <x v="0"/>
  </r>
  <r>
    <x v="188"/>
    <x v="120"/>
    <x v="4"/>
    <x v="0"/>
    <x v="10"/>
    <x v="32"/>
    <x v="1"/>
    <x v="1"/>
  </r>
  <r>
    <x v="189"/>
    <x v="157"/>
    <x v="8"/>
    <x v="1"/>
    <x v="59"/>
    <x v="3"/>
    <x v="0"/>
    <x v="0"/>
  </r>
  <r>
    <x v="190"/>
    <x v="158"/>
    <x v="3"/>
    <x v="2"/>
    <x v="80"/>
    <x v="40"/>
    <x v="1"/>
    <x v="1"/>
  </r>
  <r>
    <x v="191"/>
    <x v="73"/>
    <x v="4"/>
    <x v="1"/>
    <x v="77"/>
    <x v="2"/>
    <x v="0"/>
    <x v="0"/>
  </r>
  <r>
    <x v="192"/>
    <x v="119"/>
    <x v="2"/>
    <x v="1"/>
    <x v="55"/>
    <x v="16"/>
    <x v="1"/>
    <x v="1"/>
  </r>
  <r>
    <x v="193"/>
    <x v="16"/>
    <x v="2"/>
    <x v="1"/>
    <x v="60"/>
    <x v="38"/>
    <x v="0"/>
    <x v="0"/>
  </r>
  <r>
    <x v="194"/>
    <x v="159"/>
    <x v="2"/>
    <x v="0"/>
    <x v="74"/>
    <x v="9"/>
    <x v="0"/>
    <x v="0"/>
  </r>
  <r>
    <x v="195"/>
    <x v="139"/>
    <x v="3"/>
    <x v="0"/>
    <x v="11"/>
    <x v="27"/>
    <x v="0"/>
    <x v="0"/>
  </r>
  <r>
    <x v="196"/>
    <x v="102"/>
    <x v="9"/>
    <x v="0"/>
    <x v="67"/>
    <x v="31"/>
    <x v="0"/>
    <x v="0"/>
  </r>
  <r>
    <x v="197"/>
    <x v="160"/>
    <x v="0"/>
    <x v="1"/>
    <x v="67"/>
    <x v="14"/>
    <x v="0"/>
    <x v="0"/>
  </r>
  <r>
    <x v="198"/>
    <x v="151"/>
    <x v="3"/>
    <x v="1"/>
    <x v="61"/>
    <x v="12"/>
    <x v="1"/>
    <x v="1"/>
  </r>
  <r>
    <x v="199"/>
    <x v="161"/>
    <x v="7"/>
    <x v="1"/>
    <x v="29"/>
    <x v="4"/>
    <x v="0"/>
    <x v="0"/>
  </r>
  <r>
    <x v="200"/>
    <x v="158"/>
    <x v="5"/>
    <x v="1"/>
    <x v="66"/>
    <x v="33"/>
    <x v="0"/>
    <x v="0"/>
  </r>
  <r>
    <x v="201"/>
    <x v="162"/>
    <x v="9"/>
    <x v="2"/>
    <x v="73"/>
    <x v="14"/>
    <x v="0"/>
    <x v="0"/>
  </r>
  <r>
    <x v="202"/>
    <x v="163"/>
    <x v="2"/>
    <x v="2"/>
    <x v="80"/>
    <x v="15"/>
    <x v="0"/>
    <x v="0"/>
  </r>
  <r>
    <x v="203"/>
    <x v="164"/>
    <x v="4"/>
    <x v="0"/>
    <x v="32"/>
    <x v="7"/>
    <x v="0"/>
    <x v="0"/>
  </r>
  <r>
    <x v="204"/>
    <x v="165"/>
    <x v="2"/>
    <x v="3"/>
    <x v="26"/>
    <x v="34"/>
    <x v="1"/>
    <x v="1"/>
  </r>
  <r>
    <x v="205"/>
    <x v="166"/>
    <x v="4"/>
    <x v="3"/>
    <x v="13"/>
    <x v="17"/>
    <x v="0"/>
    <x v="0"/>
  </r>
  <r>
    <x v="206"/>
    <x v="167"/>
    <x v="5"/>
    <x v="1"/>
    <x v="10"/>
    <x v="8"/>
    <x v="0"/>
    <x v="0"/>
  </r>
  <r>
    <x v="207"/>
    <x v="168"/>
    <x v="4"/>
    <x v="1"/>
    <x v="5"/>
    <x v="40"/>
    <x v="0"/>
    <x v="0"/>
  </r>
  <r>
    <x v="208"/>
    <x v="169"/>
    <x v="5"/>
    <x v="0"/>
    <x v="42"/>
    <x v="8"/>
    <x v="0"/>
    <x v="0"/>
  </r>
  <r>
    <x v="209"/>
    <x v="170"/>
    <x v="6"/>
    <x v="2"/>
    <x v="11"/>
    <x v="27"/>
    <x v="0"/>
    <x v="0"/>
  </r>
  <r>
    <x v="210"/>
    <x v="171"/>
    <x v="8"/>
    <x v="0"/>
    <x v="19"/>
    <x v="40"/>
    <x v="0"/>
    <x v="0"/>
  </r>
  <r>
    <x v="211"/>
    <x v="172"/>
    <x v="7"/>
    <x v="0"/>
    <x v="52"/>
    <x v="26"/>
    <x v="0"/>
    <x v="0"/>
  </r>
  <r>
    <x v="212"/>
    <x v="150"/>
    <x v="2"/>
    <x v="1"/>
    <x v="78"/>
    <x v="27"/>
    <x v="0"/>
    <x v="0"/>
  </r>
  <r>
    <x v="213"/>
    <x v="76"/>
    <x v="2"/>
    <x v="0"/>
    <x v="23"/>
    <x v="26"/>
    <x v="0"/>
    <x v="0"/>
  </r>
  <r>
    <x v="214"/>
    <x v="173"/>
    <x v="6"/>
    <x v="0"/>
    <x v="13"/>
    <x v="25"/>
    <x v="0"/>
    <x v="0"/>
  </r>
  <r>
    <x v="215"/>
    <x v="37"/>
    <x v="6"/>
    <x v="1"/>
    <x v="71"/>
    <x v="11"/>
    <x v="0"/>
    <x v="0"/>
  </r>
  <r>
    <x v="216"/>
    <x v="116"/>
    <x v="9"/>
    <x v="0"/>
    <x v="67"/>
    <x v="27"/>
    <x v="0"/>
    <x v="0"/>
  </r>
  <r>
    <x v="217"/>
    <x v="174"/>
    <x v="1"/>
    <x v="1"/>
    <x v="63"/>
    <x v="17"/>
    <x v="0"/>
    <x v="0"/>
  </r>
  <r>
    <x v="218"/>
    <x v="112"/>
    <x v="3"/>
    <x v="2"/>
    <x v="40"/>
    <x v="20"/>
    <x v="0"/>
    <x v="0"/>
  </r>
  <r>
    <x v="219"/>
    <x v="118"/>
    <x v="7"/>
    <x v="3"/>
    <x v="10"/>
    <x v="3"/>
    <x v="1"/>
    <x v="1"/>
  </r>
  <r>
    <x v="220"/>
    <x v="61"/>
    <x v="1"/>
    <x v="0"/>
    <x v="73"/>
    <x v="1"/>
    <x v="0"/>
    <x v="0"/>
  </r>
  <r>
    <x v="221"/>
    <x v="175"/>
    <x v="1"/>
    <x v="2"/>
    <x v="15"/>
    <x v="27"/>
    <x v="1"/>
    <x v="1"/>
  </r>
  <r>
    <x v="222"/>
    <x v="176"/>
    <x v="5"/>
    <x v="1"/>
    <x v="5"/>
    <x v="1"/>
    <x v="1"/>
    <x v="1"/>
  </r>
  <r>
    <x v="223"/>
    <x v="177"/>
    <x v="8"/>
    <x v="1"/>
    <x v="15"/>
    <x v="33"/>
    <x v="0"/>
    <x v="0"/>
  </r>
  <r>
    <x v="224"/>
    <x v="178"/>
    <x v="0"/>
    <x v="2"/>
    <x v="24"/>
    <x v="20"/>
    <x v="0"/>
    <x v="0"/>
  </r>
  <r>
    <x v="225"/>
    <x v="179"/>
    <x v="2"/>
    <x v="2"/>
    <x v="17"/>
    <x v="33"/>
    <x v="0"/>
    <x v="0"/>
  </r>
  <r>
    <x v="226"/>
    <x v="180"/>
    <x v="6"/>
    <x v="3"/>
    <x v="81"/>
    <x v="40"/>
    <x v="0"/>
    <x v="0"/>
  </r>
  <r>
    <x v="227"/>
    <x v="181"/>
    <x v="3"/>
    <x v="3"/>
    <x v="38"/>
    <x v="25"/>
    <x v="0"/>
    <x v="0"/>
  </r>
  <r>
    <x v="228"/>
    <x v="35"/>
    <x v="8"/>
    <x v="2"/>
    <x v="25"/>
    <x v="9"/>
    <x v="0"/>
    <x v="0"/>
  </r>
  <r>
    <x v="229"/>
    <x v="36"/>
    <x v="3"/>
    <x v="0"/>
    <x v="81"/>
    <x v="17"/>
    <x v="0"/>
    <x v="0"/>
  </r>
  <r>
    <x v="230"/>
    <x v="71"/>
    <x v="1"/>
    <x v="2"/>
    <x v="77"/>
    <x v="27"/>
    <x v="0"/>
    <x v="0"/>
  </r>
  <r>
    <x v="231"/>
    <x v="112"/>
    <x v="3"/>
    <x v="1"/>
    <x v="28"/>
    <x v="0"/>
    <x v="0"/>
    <x v="0"/>
  </r>
  <r>
    <x v="232"/>
    <x v="78"/>
    <x v="7"/>
    <x v="3"/>
    <x v="74"/>
    <x v="24"/>
    <x v="1"/>
    <x v="1"/>
  </r>
  <r>
    <x v="233"/>
    <x v="182"/>
    <x v="6"/>
    <x v="1"/>
    <x v="74"/>
    <x v="7"/>
    <x v="0"/>
    <x v="0"/>
  </r>
  <r>
    <x v="234"/>
    <x v="183"/>
    <x v="0"/>
    <x v="0"/>
    <x v="81"/>
    <x v="30"/>
    <x v="0"/>
    <x v="0"/>
  </r>
  <r>
    <x v="235"/>
    <x v="184"/>
    <x v="0"/>
    <x v="1"/>
    <x v="66"/>
    <x v="39"/>
    <x v="0"/>
    <x v="0"/>
  </r>
  <r>
    <x v="236"/>
    <x v="185"/>
    <x v="8"/>
    <x v="3"/>
    <x v="14"/>
    <x v="0"/>
    <x v="0"/>
    <x v="0"/>
  </r>
  <r>
    <x v="237"/>
    <x v="186"/>
    <x v="0"/>
    <x v="1"/>
    <x v="82"/>
    <x v="36"/>
    <x v="0"/>
    <x v="0"/>
  </r>
  <r>
    <x v="238"/>
    <x v="187"/>
    <x v="9"/>
    <x v="1"/>
    <x v="44"/>
    <x v="6"/>
    <x v="0"/>
    <x v="0"/>
  </r>
  <r>
    <x v="239"/>
    <x v="141"/>
    <x v="8"/>
    <x v="1"/>
    <x v="29"/>
    <x v="19"/>
    <x v="0"/>
    <x v="0"/>
  </r>
  <r>
    <x v="240"/>
    <x v="31"/>
    <x v="0"/>
    <x v="3"/>
    <x v="26"/>
    <x v="34"/>
    <x v="0"/>
    <x v="0"/>
  </r>
  <r>
    <x v="241"/>
    <x v="188"/>
    <x v="3"/>
    <x v="3"/>
    <x v="54"/>
    <x v="39"/>
    <x v="0"/>
    <x v="0"/>
  </r>
  <r>
    <x v="242"/>
    <x v="189"/>
    <x v="9"/>
    <x v="2"/>
    <x v="4"/>
    <x v="1"/>
    <x v="0"/>
    <x v="0"/>
  </r>
  <r>
    <x v="243"/>
    <x v="34"/>
    <x v="9"/>
    <x v="1"/>
    <x v="83"/>
    <x v="38"/>
    <x v="0"/>
    <x v="0"/>
  </r>
  <r>
    <x v="244"/>
    <x v="190"/>
    <x v="1"/>
    <x v="3"/>
    <x v="66"/>
    <x v="4"/>
    <x v="1"/>
    <x v="1"/>
  </r>
  <r>
    <x v="245"/>
    <x v="79"/>
    <x v="0"/>
    <x v="3"/>
    <x v="52"/>
    <x v="36"/>
    <x v="0"/>
    <x v="0"/>
  </r>
  <r>
    <x v="246"/>
    <x v="173"/>
    <x v="8"/>
    <x v="2"/>
    <x v="82"/>
    <x v="5"/>
    <x v="0"/>
    <x v="0"/>
  </r>
  <r>
    <x v="247"/>
    <x v="191"/>
    <x v="0"/>
    <x v="0"/>
    <x v="77"/>
    <x v="28"/>
    <x v="1"/>
    <x v="1"/>
  </r>
  <r>
    <x v="248"/>
    <x v="192"/>
    <x v="2"/>
    <x v="0"/>
    <x v="76"/>
    <x v="10"/>
    <x v="0"/>
    <x v="0"/>
  </r>
  <r>
    <x v="249"/>
    <x v="75"/>
    <x v="1"/>
    <x v="3"/>
    <x v="44"/>
    <x v="8"/>
    <x v="0"/>
    <x v="0"/>
  </r>
  <r>
    <x v="250"/>
    <x v="32"/>
    <x v="6"/>
    <x v="1"/>
    <x v="73"/>
    <x v="0"/>
    <x v="0"/>
    <x v="0"/>
  </r>
  <r>
    <x v="251"/>
    <x v="193"/>
    <x v="1"/>
    <x v="1"/>
    <x v="59"/>
    <x v="17"/>
    <x v="0"/>
    <x v="0"/>
  </r>
  <r>
    <x v="252"/>
    <x v="137"/>
    <x v="9"/>
    <x v="3"/>
    <x v="78"/>
    <x v="31"/>
    <x v="0"/>
    <x v="0"/>
  </r>
  <r>
    <x v="253"/>
    <x v="194"/>
    <x v="2"/>
    <x v="0"/>
    <x v="82"/>
    <x v="7"/>
    <x v="0"/>
    <x v="0"/>
  </r>
  <r>
    <x v="254"/>
    <x v="92"/>
    <x v="6"/>
    <x v="0"/>
    <x v="71"/>
    <x v="1"/>
    <x v="1"/>
    <x v="1"/>
  </r>
  <r>
    <x v="255"/>
    <x v="195"/>
    <x v="7"/>
    <x v="1"/>
    <x v="66"/>
    <x v="6"/>
    <x v="0"/>
    <x v="0"/>
  </r>
  <r>
    <x v="256"/>
    <x v="196"/>
    <x v="0"/>
    <x v="2"/>
    <x v="62"/>
    <x v="8"/>
    <x v="0"/>
    <x v="0"/>
  </r>
  <r>
    <x v="257"/>
    <x v="197"/>
    <x v="4"/>
    <x v="1"/>
    <x v="84"/>
    <x v="33"/>
    <x v="0"/>
    <x v="0"/>
  </r>
  <r>
    <x v="258"/>
    <x v="198"/>
    <x v="9"/>
    <x v="3"/>
    <x v="85"/>
    <x v="24"/>
    <x v="0"/>
    <x v="0"/>
  </r>
  <r>
    <x v="259"/>
    <x v="199"/>
    <x v="8"/>
    <x v="3"/>
    <x v="71"/>
    <x v="33"/>
    <x v="1"/>
    <x v="1"/>
  </r>
  <r>
    <x v="260"/>
    <x v="200"/>
    <x v="4"/>
    <x v="3"/>
    <x v="74"/>
    <x v="1"/>
    <x v="0"/>
    <x v="0"/>
  </r>
  <r>
    <x v="261"/>
    <x v="37"/>
    <x v="4"/>
    <x v="0"/>
    <x v="76"/>
    <x v="12"/>
    <x v="1"/>
    <x v="1"/>
  </r>
  <r>
    <x v="262"/>
    <x v="201"/>
    <x v="7"/>
    <x v="2"/>
    <x v="52"/>
    <x v="34"/>
    <x v="0"/>
    <x v="0"/>
  </r>
  <r>
    <x v="263"/>
    <x v="202"/>
    <x v="2"/>
    <x v="3"/>
    <x v="73"/>
    <x v="15"/>
    <x v="1"/>
    <x v="1"/>
  </r>
  <r>
    <x v="264"/>
    <x v="203"/>
    <x v="3"/>
    <x v="2"/>
    <x v="44"/>
    <x v="1"/>
    <x v="0"/>
    <x v="0"/>
  </r>
  <r>
    <x v="265"/>
    <x v="33"/>
    <x v="1"/>
    <x v="0"/>
    <x v="28"/>
    <x v="18"/>
    <x v="0"/>
    <x v="0"/>
  </r>
  <r>
    <x v="266"/>
    <x v="85"/>
    <x v="3"/>
    <x v="1"/>
    <x v="68"/>
    <x v="10"/>
    <x v="0"/>
    <x v="0"/>
  </r>
  <r>
    <x v="267"/>
    <x v="204"/>
    <x v="8"/>
    <x v="0"/>
    <x v="19"/>
    <x v="14"/>
    <x v="0"/>
    <x v="0"/>
  </r>
  <r>
    <x v="268"/>
    <x v="205"/>
    <x v="5"/>
    <x v="3"/>
    <x v="32"/>
    <x v="25"/>
    <x v="0"/>
    <x v="0"/>
  </r>
  <r>
    <x v="269"/>
    <x v="103"/>
    <x v="1"/>
    <x v="0"/>
    <x v="43"/>
    <x v="22"/>
    <x v="0"/>
    <x v="0"/>
  </r>
  <r>
    <x v="270"/>
    <x v="206"/>
    <x v="9"/>
    <x v="3"/>
    <x v="48"/>
    <x v="16"/>
    <x v="0"/>
    <x v="0"/>
  </r>
  <r>
    <x v="271"/>
    <x v="207"/>
    <x v="9"/>
    <x v="1"/>
    <x v="65"/>
    <x v="27"/>
    <x v="0"/>
    <x v="0"/>
  </r>
  <r>
    <x v="272"/>
    <x v="80"/>
    <x v="6"/>
    <x v="2"/>
    <x v="80"/>
    <x v="38"/>
    <x v="1"/>
    <x v="1"/>
  </r>
  <r>
    <x v="273"/>
    <x v="208"/>
    <x v="9"/>
    <x v="2"/>
    <x v="19"/>
    <x v="20"/>
    <x v="0"/>
    <x v="0"/>
  </r>
  <r>
    <x v="274"/>
    <x v="209"/>
    <x v="4"/>
    <x v="2"/>
    <x v="21"/>
    <x v="1"/>
    <x v="0"/>
    <x v="0"/>
  </r>
  <r>
    <x v="275"/>
    <x v="53"/>
    <x v="8"/>
    <x v="2"/>
    <x v="25"/>
    <x v="15"/>
    <x v="0"/>
    <x v="0"/>
  </r>
  <r>
    <x v="276"/>
    <x v="210"/>
    <x v="9"/>
    <x v="1"/>
    <x v="57"/>
    <x v="20"/>
    <x v="0"/>
    <x v="0"/>
  </r>
  <r>
    <x v="277"/>
    <x v="211"/>
    <x v="1"/>
    <x v="0"/>
    <x v="20"/>
    <x v="31"/>
    <x v="0"/>
    <x v="0"/>
  </r>
  <r>
    <x v="278"/>
    <x v="212"/>
    <x v="7"/>
    <x v="0"/>
    <x v="52"/>
    <x v="34"/>
    <x v="0"/>
    <x v="0"/>
  </r>
  <r>
    <x v="279"/>
    <x v="149"/>
    <x v="0"/>
    <x v="3"/>
    <x v="63"/>
    <x v="0"/>
    <x v="0"/>
    <x v="0"/>
  </r>
  <r>
    <x v="280"/>
    <x v="88"/>
    <x v="5"/>
    <x v="1"/>
    <x v="73"/>
    <x v="5"/>
    <x v="0"/>
    <x v="0"/>
  </r>
  <r>
    <x v="281"/>
    <x v="213"/>
    <x v="1"/>
    <x v="2"/>
    <x v="47"/>
    <x v="22"/>
    <x v="0"/>
    <x v="0"/>
  </r>
  <r>
    <x v="282"/>
    <x v="214"/>
    <x v="2"/>
    <x v="3"/>
    <x v="55"/>
    <x v="30"/>
    <x v="0"/>
    <x v="0"/>
  </r>
  <r>
    <x v="283"/>
    <x v="188"/>
    <x v="5"/>
    <x v="3"/>
    <x v="48"/>
    <x v="12"/>
    <x v="1"/>
    <x v="1"/>
  </r>
  <r>
    <x v="284"/>
    <x v="215"/>
    <x v="1"/>
    <x v="1"/>
    <x v="51"/>
    <x v="21"/>
    <x v="0"/>
    <x v="0"/>
  </r>
  <r>
    <x v="285"/>
    <x v="216"/>
    <x v="1"/>
    <x v="1"/>
    <x v="52"/>
    <x v="11"/>
    <x v="0"/>
    <x v="0"/>
  </r>
  <r>
    <x v="286"/>
    <x v="217"/>
    <x v="5"/>
    <x v="1"/>
    <x v="54"/>
    <x v="23"/>
    <x v="0"/>
    <x v="0"/>
  </r>
  <r>
    <x v="287"/>
    <x v="134"/>
    <x v="6"/>
    <x v="3"/>
    <x v="15"/>
    <x v="22"/>
    <x v="1"/>
    <x v="1"/>
  </r>
  <r>
    <x v="288"/>
    <x v="218"/>
    <x v="7"/>
    <x v="1"/>
    <x v="60"/>
    <x v="31"/>
    <x v="0"/>
    <x v="0"/>
  </r>
  <r>
    <x v="289"/>
    <x v="219"/>
    <x v="2"/>
    <x v="2"/>
    <x v="78"/>
    <x v="23"/>
    <x v="0"/>
    <x v="0"/>
  </r>
  <r>
    <x v="290"/>
    <x v="220"/>
    <x v="1"/>
    <x v="3"/>
    <x v="51"/>
    <x v="6"/>
    <x v="1"/>
    <x v="1"/>
  </r>
  <r>
    <x v="291"/>
    <x v="65"/>
    <x v="5"/>
    <x v="2"/>
    <x v="22"/>
    <x v="1"/>
    <x v="0"/>
    <x v="0"/>
  </r>
  <r>
    <x v="292"/>
    <x v="0"/>
    <x v="1"/>
    <x v="3"/>
    <x v="86"/>
    <x v="9"/>
    <x v="0"/>
    <x v="0"/>
  </r>
  <r>
    <x v="293"/>
    <x v="191"/>
    <x v="7"/>
    <x v="3"/>
    <x v="11"/>
    <x v="7"/>
    <x v="0"/>
    <x v="0"/>
  </r>
  <r>
    <x v="294"/>
    <x v="94"/>
    <x v="5"/>
    <x v="2"/>
    <x v="73"/>
    <x v="3"/>
    <x v="0"/>
    <x v="0"/>
  </r>
  <r>
    <x v="295"/>
    <x v="99"/>
    <x v="7"/>
    <x v="3"/>
    <x v="14"/>
    <x v="24"/>
    <x v="0"/>
    <x v="0"/>
  </r>
  <r>
    <x v="296"/>
    <x v="221"/>
    <x v="2"/>
    <x v="3"/>
    <x v="2"/>
    <x v="6"/>
    <x v="1"/>
    <x v="1"/>
  </r>
  <r>
    <x v="297"/>
    <x v="222"/>
    <x v="5"/>
    <x v="1"/>
    <x v="6"/>
    <x v="1"/>
    <x v="0"/>
    <x v="0"/>
  </r>
  <r>
    <x v="298"/>
    <x v="217"/>
    <x v="5"/>
    <x v="1"/>
    <x v="83"/>
    <x v="17"/>
    <x v="0"/>
    <x v="0"/>
  </r>
  <r>
    <x v="299"/>
    <x v="10"/>
    <x v="3"/>
    <x v="0"/>
    <x v="47"/>
    <x v="12"/>
    <x v="0"/>
    <x v="0"/>
  </r>
  <r>
    <x v="300"/>
    <x v="223"/>
    <x v="7"/>
    <x v="1"/>
    <x v="3"/>
    <x v="33"/>
    <x v="0"/>
    <x v="0"/>
  </r>
  <r>
    <x v="301"/>
    <x v="224"/>
    <x v="9"/>
    <x v="3"/>
    <x v="2"/>
    <x v="12"/>
    <x v="0"/>
    <x v="0"/>
  </r>
  <r>
    <x v="302"/>
    <x v="225"/>
    <x v="9"/>
    <x v="3"/>
    <x v="87"/>
    <x v="34"/>
    <x v="0"/>
    <x v="0"/>
  </r>
  <r>
    <x v="303"/>
    <x v="122"/>
    <x v="3"/>
    <x v="2"/>
    <x v="85"/>
    <x v="20"/>
    <x v="1"/>
    <x v="1"/>
  </r>
  <r>
    <x v="304"/>
    <x v="226"/>
    <x v="7"/>
    <x v="2"/>
    <x v="62"/>
    <x v="28"/>
    <x v="0"/>
    <x v="0"/>
  </r>
  <r>
    <x v="305"/>
    <x v="227"/>
    <x v="9"/>
    <x v="0"/>
    <x v="55"/>
    <x v="25"/>
    <x v="0"/>
    <x v="0"/>
  </r>
  <r>
    <x v="306"/>
    <x v="58"/>
    <x v="8"/>
    <x v="3"/>
    <x v="30"/>
    <x v="20"/>
    <x v="0"/>
    <x v="0"/>
  </r>
  <r>
    <x v="307"/>
    <x v="228"/>
    <x v="5"/>
    <x v="3"/>
    <x v="63"/>
    <x v="24"/>
    <x v="1"/>
    <x v="1"/>
  </r>
  <r>
    <x v="308"/>
    <x v="229"/>
    <x v="4"/>
    <x v="0"/>
    <x v="57"/>
    <x v="0"/>
    <x v="0"/>
    <x v="0"/>
  </r>
  <r>
    <x v="309"/>
    <x v="140"/>
    <x v="5"/>
    <x v="1"/>
    <x v="78"/>
    <x v="10"/>
    <x v="1"/>
    <x v="1"/>
  </r>
  <r>
    <x v="310"/>
    <x v="102"/>
    <x v="8"/>
    <x v="2"/>
    <x v="53"/>
    <x v="1"/>
    <x v="1"/>
    <x v="1"/>
  </r>
  <r>
    <x v="311"/>
    <x v="98"/>
    <x v="8"/>
    <x v="1"/>
    <x v="40"/>
    <x v="27"/>
    <x v="1"/>
    <x v="1"/>
  </r>
  <r>
    <x v="312"/>
    <x v="230"/>
    <x v="7"/>
    <x v="2"/>
    <x v="47"/>
    <x v="13"/>
    <x v="0"/>
    <x v="0"/>
  </r>
  <r>
    <x v="313"/>
    <x v="231"/>
    <x v="2"/>
    <x v="2"/>
    <x v="50"/>
    <x v="28"/>
    <x v="0"/>
    <x v="0"/>
  </r>
  <r>
    <x v="314"/>
    <x v="232"/>
    <x v="1"/>
    <x v="1"/>
    <x v="17"/>
    <x v="19"/>
    <x v="0"/>
    <x v="0"/>
  </r>
  <r>
    <x v="315"/>
    <x v="58"/>
    <x v="7"/>
    <x v="3"/>
    <x v="28"/>
    <x v="13"/>
    <x v="0"/>
    <x v="0"/>
  </r>
  <r>
    <x v="316"/>
    <x v="49"/>
    <x v="3"/>
    <x v="0"/>
    <x v="20"/>
    <x v="12"/>
    <x v="0"/>
    <x v="0"/>
  </r>
  <r>
    <x v="317"/>
    <x v="233"/>
    <x v="6"/>
    <x v="1"/>
    <x v="83"/>
    <x v="34"/>
    <x v="0"/>
    <x v="0"/>
  </r>
  <r>
    <x v="318"/>
    <x v="234"/>
    <x v="1"/>
    <x v="1"/>
    <x v="56"/>
    <x v="26"/>
    <x v="0"/>
    <x v="0"/>
  </r>
  <r>
    <x v="319"/>
    <x v="235"/>
    <x v="1"/>
    <x v="2"/>
    <x v="37"/>
    <x v="3"/>
    <x v="0"/>
    <x v="0"/>
  </r>
  <r>
    <x v="320"/>
    <x v="3"/>
    <x v="2"/>
    <x v="2"/>
    <x v="35"/>
    <x v="6"/>
    <x v="0"/>
    <x v="0"/>
  </r>
  <r>
    <x v="321"/>
    <x v="236"/>
    <x v="6"/>
    <x v="0"/>
    <x v="9"/>
    <x v="24"/>
    <x v="0"/>
    <x v="0"/>
  </r>
  <r>
    <x v="322"/>
    <x v="237"/>
    <x v="1"/>
    <x v="1"/>
    <x v="34"/>
    <x v="8"/>
    <x v="0"/>
    <x v="0"/>
  </r>
  <r>
    <x v="323"/>
    <x v="238"/>
    <x v="5"/>
    <x v="3"/>
    <x v="32"/>
    <x v="10"/>
    <x v="0"/>
    <x v="0"/>
  </r>
  <r>
    <x v="324"/>
    <x v="175"/>
    <x v="7"/>
    <x v="2"/>
    <x v="62"/>
    <x v="10"/>
    <x v="0"/>
    <x v="0"/>
  </r>
  <r>
    <x v="325"/>
    <x v="135"/>
    <x v="5"/>
    <x v="3"/>
    <x v="19"/>
    <x v="28"/>
    <x v="0"/>
    <x v="0"/>
  </r>
  <r>
    <x v="326"/>
    <x v="228"/>
    <x v="7"/>
    <x v="2"/>
    <x v="44"/>
    <x v="40"/>
    <x v="0"/>
    <x v="0"/>
  </r>
  <r>
    <x v="327"/>
    <x v="170"/>
    <x v="1"/>
    <x v="0"/>
    <x v="1"/>
    <x v="39"/>
    <x v="0"/>
    <x v="0"/>
  </r>
  <r>
    <x v="328"/>
    <x v="184"/>
    <x v="1"/>
    <x v="3"/>
    <x v="56"/>
    <x v="15"/>
    <x v="1"/>
    <x v="1"/>
  </r>
  <r>
    <x v="329"/>
    <x v="239"/>
    <x v="6"/>
    <x v="3"/>
    <x v="50"/>
    <x v="9"/>
    <x v="0"/>
    <x v="0"/>
  </r>
  <r>
    <x v="330"/>
    <x v="240"/>
    <x v="9"/>
    <x v="1"/>
    <x v="34"/>
    <x v="32"/>
    <x v="0"/>
    <x v="0"/>
  </r>
  <r>
    <x v="331"/>
    <x v="241"/>
    <x v="4"/>
    <x v="0"/>
    <x v="84"/>
    <x v="29"/>
    <x v="0"/>
    <x v="0"/>
  </r>
  <r>
    <x v="332"/>
    <x v="235"/>
    <x v="5"/>
    <x v="1"/>
    <x v="62"/>
    <x v="11"/>
    <x v="1"/>
    <x v="1"/>
  </r>
  <r>
    <x v="333"/>
    <x v="242"/>
    <x v="5"/>
    <x v="0"/>
    <x v="36"/>
    <x v="0"/>
    <x v="0"/>
    <x v="0"/>
  </r>
  <r>
    <x v="334"/>
    <x v="214"/>
    <x v="7"/>
    <x v="0"/>
    <x v="34"/>
    <x v="9"/>
    <x v="0"/>
    <x v="0"/>
  </r>
  <r>
    <x v="335"/>
    <x v="146"/>
    <x v="2"/>
    <x v="0"/>
    <x v="27"/>
    <x v="6"/>
    <x v="0"/>
    <x v="0"/>
  </r>
  <r>
    <x v="336"/>
    <x v="132"/>
    <x v="3"/>
    <x v="0"/>
    <x v="74"/>
    <x v="38"/>
    <x v="0"/>
    <x v="0"/>
  </r>
  <r>
    <x v="337"/>
    <x v="243"/>
    <x v="4"/>
    <x v="1"/>
    <x v="88"/>
    <x v="3"/>
    <x v="0"/>
    <x v="0"/>
  </r>
  <r>
    <x v="338"/>
    <x v="3"/>
    <x v="4"/>
    <x v="1"/>
    <x v="15"/>
    <x v="16"/>
    <x v="0"/>
    <x v="0"/>
  </r>
  <r>
    <x v="339"/>
    <x v="203"/>
    <x v="2"/>
    <x v="2"/>
    <x v="62"/>
    <x v="27"/>
    <x v="1"/>
    <x v="1"/>
  </r>
  <r>
    <x v="340"/>
    <x v="244"/>
    <x v="1"/>
    <x v="3"/>
    <x v="11"/>
    <x v="29"/>
    <x v="0"/>
    <x v="0"/>
  </r>
  <r>
    <x v="341"/>
    <x v="2"/>
    <x v="4"/>
    <x v="1"/>
    <x v="42"/>
    <x v="0"/>
    <x v="1"/>
    <x v="1"/>
  </r>
  <r>
    <x v="342"/>
    <x v="205"/>
    <x v="7"/>
    <x v="2"/>
    <x v="83"/>
    <x v="2"/>
    <x v="0"/>
    <x v="0"/>
  </r>
  <r>
    <x v="343"/>
    <x v="245"/>
    <x v="0"/>
    <x v="0"/>
    <x v="25"/>
    <x v="28"/>
    <x v="0"/>
    <x v="0"/>
  </r>
  <r>
    <x v="344"/>
    <x v="246"/>
    <x v="0"/>
    <x v="3"/>
    <x v="31"/>
    <x v="10"/>
    <x v="1"/>
    <x v="1"/>
  </r>
  <r>
    <x v="345"/>
    <x v="61"/>
    <x v="8"/>
    <x v="3"/>
    <x v="60"/>
    <x v="37"/>
    <x v="0"/>
    <x v="0"/>
  </r>
  <r>
    <x v="346"/>
    <x v="113"/>
    <x v="3"/>
    <x v="2"/>
    <x v="76"/>
    <x v="17"/>
    <x v="0"/>
    <x v="0"/>
  </r>
  <r>
    <x v="347"/>
    <x v="247"/>
    <x v="5"/>
    <x v="1"/>
    <x v="59"/>
    <x v="9"/>
    <x v="0"/>
    <x v="0"/>
  </r>
  <r>
    <x v="348"/>
    <x v="248"/>
    <x v="2"/>
    <x v="2"/>
    <x v="71"/>
    <x v="28"/>
    <x v="0"/>
    <x v="0"/>
  </r>
  <r>
    <x v="349"/>
    <x v="249"/>
    <x v="4"/>
    <x v="1"/>
    <x v="24"/>
    <x v="33"/>
    <x v="0"/>
    <x v="0"/>
  </r>
  <r>
    <x v="350"/>
    <x v="60"/>
    <x v="4"/>
    <x v="2"/>
    <x v="66"/>
    <x v="3"/>
    <x v="0"/>
    <x v="0"/>
  </r>
  <r>
    <x v="351"/>
    <x v="250"/>
    <x v="0"/>
    <x v="3"/>
    <x v="29"/>
    <x v="0"/>
    <x v="0"/>
    <x v="0"/>
  </r>
  <r>
    <x v="352"/>
    <x v="251"/>
    <x v="3"/>
    <x v="2"/>
    <x v="15"/>
    <x v="3"/>
    <x v="1"/>
    <x v="1"/>
  </r>
  <r>
    <x v="353"/>
    <x v="252"/>
    <x v="4"/>
    <x v="0"/>
    <x v="70"/>
    <x v="24"/>
    <x v="1"/>
    <x v="1"/>
  </r>
  <r>
    <x v="354"/>
    <x v="253"/>
    <x v="8"/>
    <x v="2"/>
    <x v="58"/>
    <x v="15"/>
    <x v="0"/>
    <x v="0"/>
  </r>
  <r>
    <x v="355"/>
    <x v="254"/>
    <x v="6"/>
    <x v="3"/>
    <x v="3"/>
    <x v="1"/>
    <x v="0"/>
    <x v="0"/>
  </r>
  <r>
    <x v="356"/>
    <x v="118"/>
    <x v="0"/>
    <x v="0"/>
    <x v="78"/>
    <x v="40"/>
    <x v="0"/>
    <x v="0"/>
  </r>
  <r>
    <x v="357"/>
    <x v="255"/>
    <x v="1"/>
    <x v="3"/>
    <x v="19"/>
    <x v="34"/>
    <x v="0"/>
    <x v="0"/>
  </r>
  <r>
    <x v="358"/>
    <x v="101"/>
    <x v="2"/>
    <x v="3"/>
    <x v="25"/>
    <x v="39"/>
    <x v="0"/>
    <x v="0"/>
  </r>
  <r>
    <x v="359"/>
    <x v="198"/>
    <x v="2"/>
    <x v="1"/>
    <x v="62"/>
    <x v="38"/>
    <x v="0"/>
    <x v="0"/>
  </r>
  <r>
    <x v="360"/>
    <x v="256"/>
    <x v="6"/>
    <x v="0"/>
    <x v="5"/>
    <x v="13"/>
    <x v="0"/>
    <x v="0"/>
  </r>
  <r>
    <x v="361"/>
    <x v="163"/>
    <x v="7"/>
    <x v="2"/>
    <x v="33"/>
    <x v="35"/>
    <x v="0"/>
    <x v="0"/>
  </r>
  <r>
    <x v="362"/>
    <x v="30"/>
    <x v="8"/>
    <x v="0"/>
    <x v="17"/>
    <x v="6"/>
    <x v="0"/>
    <x v="0"/>
  </r>
  <r>
    <x v="363"/>
    <x v="92"/>
    <x v="2"/>
    <x v="2"/>
    <x v="84"/>
    <x v="14"/>
    <x v="0"/>
    <x v="0"/>
  </r>
  <r>
    <x v="364"/>
    <x v="39"/>
    <x v="3"/>
    <x v="1"/>
    <x v="71"/>
    <x v="20"/>
    <x v="0"/>
    <x v="0"/>
  </r>
  <r>
    <x v="365"/>
    <x v="257"/>
    <x v="9"/>
    <x v="3"/>
    <x v="3"/>
    <x v="4"/>
    <x v="0"/>
    <x v="0"/>
  </r>
  <r>
    <x v="366"/>
    <x v="140"/>
    <x v="0"/>
    <x v="2"/>
    <x v="10"/>
    <x v="4"/>
    <x v="0"/>
    <x v="0"/>
  </r>
  <r>
    <x v="367"/>
    <x v="44"/>
    <x v="8"/>
    <x v="3"/>
    <x v="21"/>
    <x v="3"/>
    <x v="1"/>
    <x v="1"/>
  </r>
  <r>
    <x v="368"/>
    <x v="258"/>
    <x v="8"/>
    <x v="0"/>
    <x v="5"/>
    <x v="10"/>
    <x v="0"/>
    <x v="0"/>
  </r>
  <r>
    <x v="369"/>
    <x v="247"/>
    <x v="5"/>
    <x v="2"/>
    <x v="74"/>
    <x v="18"/>
    <x v="0"/>
    <x v="0"/>
  </r>
  <r>
    <x v="370"/>
    <x v="166"/>
    <x v="6"/>
    <x v="2"/>
    <x v="19"/>
    <x v="9"/>
    <x v="0"/>
    <x v="0"/>
  </r>
  <r>
    <x v="371"/>
    <x v="59"/>
    <x v="0"/>
    <x v="0"/>
    <x v="46"/>
    <x v="8"/>
    <x v="1"/>
    <x v="1"/>
  </r>
  <r>
    <x v="372"/>
    <x v="259"/>
    <x v="1"/>
    <x v="1"/>
    <x v="25"/>
    <x v="7"/>
    <x v="0"/>
    <x v="0"/>
  </r>
  <r>
    <x v="373"/>
    <x v="167"/>
    <x v="4"/>
    <x v="1"/>
    <x v="17"/>
    <x v="14"/>
    <x v="0"/>
    <x v="0"/>
  </r>
  <r>
    <x v="374"/>
    <x v="260"/>
    <x v="1"/>
    <x v="0"/>
    <x v="83"/>
    <x v="9"/>
    <x v="1"/>
    <x v="1"/>
  </r>
  <r>
    <x v="375"/>
    <x v="261"/>
    <x v="5"/>
    <x v="2"/>
    <x v="13"/>
    <x v="25"/>
    <x v="0"/>
    <x v="0"/>
  </r>
  <r>
    <x v="376"/>
    <x v="29"/>
    <x v="0"/>
    <x v="2"/>
    <x v="61"/>
    <x v="4"/>
    <x v="0"/>
    <x v="0"/>
  </r>
  <r>
    <x v="377"/>
    <x v="262"/>
    <x v="1"/>
    <x v="3"/>
    <x v="84"/>
    <x v="19"/>
    <x v="0"/>
    <x v="0"/>
  </r>
  <r>
    <x v="378"/>
    <x v="104"/>
    <x v="3"/>
    <x v="3"/>
    <x v="12"/>
    <x v="17"/>
    <x v="1"/>
    <x v="1"/>
  </r>
  <r>
    <x v="379"/>
    <x v="263"/>
    <x v="4"/>
    <x v="1"/>
    <x v="44"/>
    <x v="14"/>
    <x v="0"/>
    <x v="0"/>
  </r>
  <r>
    <x v="380"/>
    <x v="264"/>
    <x v="5"/>
    <x v="0"/>
    <x v="86"/>
    <x v="15"/>
    <x v="0"/>
    <x v="0"/>
  </r>
  <r>
    <x v="381"/>
    <x v="265"/>
    <x v="6"/>
    <x v="1"/>
    <x v="48"/>
    <x v="3"/>
    <x v="0"/>
    <x v="0"/>
  </r>
  <r>
    <x v="382"/>
    <x v="19"/>
    <x v="4"/>
    <x v="2"/>
    <x v="34"/>
    <x v="27"/>
    <x v="0"/>
    <x v="0"/>
  </r>
  <r>
    <x v="383"/>
    <x v="266"/>
    <x v="6"/>
    <x v="1"/>
    <x v="30"/>
    <x v="26"/>
    <x v="0"/>
    <x v="0"/>
  </r>
  <r>
    <x v="384"/>
    <x v="54"/>
    <x v="3"/>
    <x v="2"/>
    <x v="36"/>
    <x v="26"/>
    <x v="0"/>
    <x v="0"/>
  </r>
  <r>
    <x v="385"/>
    <x v="111"/>
    <x v="3"/>
    <x v="1"/>
    <x v="83"/>
    <x v="40"/>
    <x v="0"/>
    <x v="0"/>
  </r>
  <r>
    <x v="386"/>
    <x v="267"/>
    <x v="7"/>
    <x v="1"/>
    <x v="46"/>
    <x v="20"/>
    <x v="0"/>
    <x v="0"/>
  </r>
  <r>
    <x v="387"/>
    <x v="64"/>
    <x v="5"/>
    <x v="2"/>
    <x v="42"/>
    <x v="19"/>
    <x v="1"/>
    <x v="1"/>
  </r>
  <r>
    <x v="388"/>
    <x v="120"/>
    <x v="5"/>
    <x v="3"/>
    <x v="34"/>
    <x v="15"/>
    <x v="0"/>
    <x v="0"/>
  </r>
  <r>
    <x v="389"/>
    <x v="268"/>
    <x v="8"/>
    <x v="0"/>
    <x v="81"/>
    <x v="23"/>
    <x v="0"/>
    <x v="0"/>
  </r>
  <r>
    <x v="390"/>
    <x v="81"/>
    <x v="8"/>
    <x v="0"/>
    <x v="19"/>
    <x v="6"/>
    <x v="1"/>
    <x v="1"/>
  </r>
  <r>
    <x v="391"/>
    <x v="262"/>
    <x v="0"/>
    <x v="1"/>
    <x v="14"/>
    <x v="14"/>
    <x v="0"/>
    <x v="0"/>
  </r>
  <r>
    <x v="392"/>
    <x v="71"/>
    <x v="1"/>
    <x v="1"/>
    <x v="45"/>
    <x v="10"/>
    <x v="0"/>
    <x v="0"/>
  </r>
  <r>
    <x v="393"/>
    <x v="176"/>
    <x v="9"/>
    <x v="0"/>
    <x v="75"/>
    <x v="17"/>
    <x v="0"/>
    <x v="0"/>
  </r>
  <r>
    <x v="394"/>
    <x v="83"/>
    <x v="9"/>
    <x v="1"/>
    <x v="81"/>
    <x v="8"/>
    <x v="0"/>
    <x v="0"/>
  </r>
  <r>
    <x v="395"/>
    <x v="170"/>
    <x v="7"/>
    <x v="3"/>
    <x v="33"/>
    <x v="21"/>
    <x v="0"/>
    <x v="0"/>
  </r>
  <r>
    <x v="396"/>
    <x v="269"/>
    <x v="4"/>
    <x v="0"/>
    <x v="55"/>
    <x v="13"/>
    <x v="1"/>
    <x v="1"/>
  </r>
  <r>
    <x v="397"/>
    <x v="270"/>
    <x v="0"/>
    <x v="1"/>
    <x v="38"/>
    <x v="30"/>
    <x v="0"/>
    <x v="0"/>
  </r>
  <r>
    <x v="398"/>
    <x v="151"/>
    <x v="5"/>
    <x v="0"/>
    <x v="40"/>
    <x v="34"/>
    <x v="0"/>
    <x v="0"/>
  </r>
  <r>
    <x v="399"/>
    <x v="114"/>
    <x v="0"/>
    <x v="0"/>
    <x v="13"/>
    <x v="0"/>
    <x v="1"/>
    <x v="1"/>
  </r>
  <r>
    <x v="400"/>
    <x v="4"/>
    <x v="5"/>
    <x v="1"/>
    <x v="67"/>
    <x v="30"/>
    <x v="0"/>
    <x v="0"/>
  </r>
  <r>
    <x v="401"/>
    <x v="156"/>
    <x v="7"/>
    <x v="3"/>
    <x v="26"/>
    <x v="8"/>
    <x v="0"/>
    <x v="0"/>
  </r>
  <r>
    <x v="402"/>
    <x v="236"/>
    <x v="4"/>
    <x v="3"/>
    <x v="67"/>
    <x v="4"/>
    <x v="0"/>
    <x v="0"/>
  </r>
  <r>
    <x v="403"/>
    <x v="271"/>
    <x v="8"/>
    <x v="1"/>
    <x v="23"/>
    <x v="35"/>
    <x v="1"/>
    <x v="1"/>
  </r>
  <r>
    <x v="404"/>
    <x v="23"/>
    <x v="8"/>
    <x v="1"/>
    <x v="75"/>
    <x v="40"/>
    <x v="0"/>
    <x v="0"/>
  </r>
  <r>
    <x v="405"/>
    <x v="272"/>
    <x v="1"/>
    <x v="1"/>
    <x v="2"/>
    <x v="1"/>
    <x v="0"/>
    <x v="0"/>
  </r>
  <r>
    <x v="406"/>
    <x v="91"/>
    <x v="6"/>
    <x v="0"/>
    <x v="51"/>
    <x v="7"/>
    <x v="0"/>
    <x v="0"/>
  </r>
  <r>
    <x v="407"/>
    <x v="273"/>
    <x v="0"/>
    <x v="1"/>
    <x v="2"/>
    <x v="39"/>
    <x v="0"/>
    <x v="0"/>
  </r>
  <r>
    <x v="408"/>
    <x v="274"/>
    <x v="7"/>
    <x v="0"/>
    <x v="56"/>
    <x v="17"/>
    <x v="0"/>
    <x v="0"/>
  </r>
  <r>
    <x v="409"/>
    <x v="275"/>
    <x v="2"/>
    <x v="2"/>
    <x v="47"/>
    <x v="10"/>
    <x v="0"/>
    <x v="0"/>
  </r>
  <r>
    <x v="410"/>
    <x v="57"/>
    <x v="4"/>
    <x v="1"/>
    <x v="71"/>
    <x v="34"/>
    <x v="0"/>
    <x v="0"/>
  </r>
  <r>
    <x v="411"/>
    <x v="76"/>
    <x v="7"/>
    <x v="0"/>
    <x v="79"/>
    <x v="34"/>
    <x v="0"/>
    <x v="0"/>
  </r>
  <r>
    <x v="412"/>
    <x v="176"/>
    <x v="8"/>
    <x v="3"/>
    <x v="16"/>
    <x v="8"/>
    <x v="0"/>
    <x v="0"/>
  </r>
  <r>
    <x v="413"/>
    <x v="276"/>
    <x v="3"/>
    <x v="3"/>
    <x v="31"/>
    <x v="20"/>
    <x v="0"/>
    <x v="0"/>
  </r>
  <r>
    <x v="414"/>
    <x v="277"/>
    <x v="6"/>
    <x v="3"/>
    <x v="40"/>
    <x v="12"/>
    <x v="0"/>
    <x v="0"/>
  </r>
  <r>
    <x v="415"/>
    <x v="176"/>
    <x v="4"/>
    <x v="2"/>
    <x v="40"/>
    <x v="34"/>
    <x v="1"/>
    <x v="1"/>
  </r>
  <r>
    <x v="416"/>
    <x v="278"/>
    <x v="2"/>
    <x v="3"/>
    <x v="49"/>
    <x v="5"/>
    <x v="1"/>
    <x v="1"/>
  </r>
  <r>
    <x v="417"/>
    <x v="57"/>
    <x v="9"/>
    <x v="3"/>
    <x v="78"/>
    <x v="31"/>
    <x v="1"/>
    <x v="1"/>
  </r>
  <r>
    <x v="418"/>
    <x v="144"/>
    <x v="7"/>
    <x v="1"/>
    <x v="29"/>
    <x v="18"/>
    <x v="0"/>
    <x v="0"/>
  </r>
  <r>
    <x v="419"/>
    <x v="279"/>
    <x v="0"/>
    <x v="2"/>
    <x v="64"/>
    <x v="22"/>
    <x v="1"/>
    <x v="1"/>
  </r>
  <r>
    <x v="420"/>
    <x v="280"/>
    <x v="2"/>
    <x v="2"/>
    <x v="9"/>
    <x v="38"/>
    <x v="0"/>
    <x v="0"/>
  </r>
  <r>
    <x v="421"/>
    <x v="258"/>
    <x v="2"/>
    <x v="3"/>
    <x v="58"/>
    <x v="34"/>
    <x v="0"/>
    <x v="0"/>
  </r>
  <r>
    <x v="422"/>
    <x v="281"/>
    <x v="7"/>
    <x v="0"/>
    <x v="82"/>
    <x v="38"/>
    <x v="0"/>
    <x v="0"/>
  </r>
  <r>
    <x v="423"/>
    <x v="146"/>
    <x v="2"/>
    <x v="0"/>
    <x v="33"/>
    <x v="25"/>
    <x v="0"/>
    <x v="0"/>
  </r>
  <r>
    <x v="424"/>
    <x v="282"/>
    <x v="9"/>
    <x v="0"/>
    <x v="58"/>
    <x v="28"/>
    <x v="0"/>
    <x v="0"/>
  </r>
  <r>
    <x v="425"/>
    <x v="39"/>
    <x v="3"/>
    <x v="0"/>
    <x v="89"/>
    <x v="13"/>
    <x v="1"/>
    <x v="1"/>
  </r>
  <r>
    <x v="426"/>
    <x v="283"/>
    <x v="9"/>
    <x v="0"/>
    <x v="81"/>
    <x v="33"/>
    <x v="1"/>
    <x v="1"/>
  </r>
  <r>
    <x v="427"/>
    <x v="284"/>
    <x v="0"/>
    <x v="3"/>
    <x v="45"/>
    <x v="20"/>
    <x v="0"/>
    <x v="0"/>
  </r>
  <r>
    <x v="428"/>
    <x v="254"/>
    <x v="4"/>
    <x v="0"/>
    <x v="9"/>
    <x v="10"/>
    <x v="0"/>
    <x v="0"/>
  </r>
  <r>
    <x v="429"/>
    <x v="67"/>
    <x v="9"/>
    <x v="1"/>
    <x v="3"/>
    <x v="35"/>
    <x v="0"/>
    <x v="0"/>
  </r>
  <r>
    <x v="430"/>
    <x v="18"/>
    <x v="9"/>
    <x v="2"/>
    <x v="57"/>
    <x v="28"/>
    <x v="0"/>
    <x v="0"/>
  </r>
  <r>
    <x v="431"/>
    <x v="119"/>
    <x v="7"/>
    <x v="2"/>
    <x v="83"/>
    <x v="27"/>
    <x v="0"/>
    <x v="0"/>
  </r>
  <r>
    <x v="432"/>
    <x v="285"/>
    <x v="6"/>
    <x v="2"/>
    <x v="76"/>
    <x v="30"/>
    <x v="0"/>
    <x v="0"/>
  </r>
  <r>
    <x v="433"/>
    <x v="20"/>
    <x v="8"/>
    <x v="2"/>
    <x v="42"/>
    <x v="23"/>
    <x v="0"/>
    <x v="0"/>
  </r>
  <r>
    <x v="434"/>
    <x v="81"/>
    <x v="6"/>
    <x v="3"/>
    <x v="25"/>
    <x v="22"/>
    <x v="0"/>
    <x v="0"/>
  </r>
  <r>
    <x v="435"/>
    <x v="286"/>
    <x v="1"/>
    <x v="2"/>
    <x v="42"/>
    <x v="19"/>
    <x v="0"/>
    <x v="0"/>
  </r>
  <r>
    <x v="436"/>
    <x v="11"/>
    <x v="9"/>
    <x v="0"/>
    <x v="81"/>
    <x v="28"/>
    <x v="0"/>
    <x v="0"/>
  </r>
  <r>
    <x v="437"/>
    <x v="287"/>
    <x v="1"/>
    <x v="0"/>
    <x v="9"/>
    <x v="25"/>
    <x v="0"/>
    <x v="0"/>
  </r>
  <r>
    <x v="438"/>
    <x v="288"/>
    <x v="1"/>
    <x v="3"/>
    <x v="22"/>
    <x v="35"/>
    <x v="1"/>
    <x v="1"/>
  </r>
  <r>
    <x v="439"/>
    <x v="289"/>
    <x v="3"/>
    <x v="2"/>
    <x v="1"/>
    <x v="35"/>
    <x v="0"/>
    <x v="0"/>
  </r>
  <r>
    <x v="440"/>
    <x v="290"/>
    <x v="9"/>
    <x v="0"/>
    <x v="49"/>
    <x v="21"/>
    <x v="0"/>
    <x v="0"/>
  </r>
  <r>
    <x v="441"/>
    <x v="181"/>
    <x v="9"/>
    <x v="1"/>
    <x v="78"/>
    <x v="13"/>
    <x v="0"/>
    <x v="0"/>
  </r>
  <r>
    <x v="442"/>
    <x v="291"/>
    <x v="3"/>
    <x v="1"/>
    <x v="32"/>
    <x v="8"/>
    <x v="1"/>
    <x v="1"/>
  </r>
  <r>
    <x v="443"/>
    <x v="292"/>
    <x v="6"/>
    <x v="0"/>
    <x v="15"/>
    <x v="9"/>
    <x v="1"/>
    <x v="1"/>
  </r>
  <r>
    <x v="444"/>
    <x v="293"/>
    <x v="5"/>
    <x v="3"/>
    <x v="89"/>
    <x v="4"/>
    <x v="0"/>
    <x v="0"/>
  </r>
  <r>
    <x v="445"/>
    <x v="204"/>
    <x v="0"/>
    <x v="3"/>
    <x v="57"/>
    <x v="1"/>
    <x v="0"/>
    <x v="0"/>
  </r>
  <r>
    <x v="446"/>
    <x v="184"/>
    <x v="6"/>
    <x v="2"/>
    <x v="32"/>
    <x v="22"/>
    <x v="0"/>
    <x v="0"/>
  </r>
  <r>
    <x v="447"/>
    <x v="294"/>
    <x v="4"/>
    <x v="0"/>
    <x v="62"/>
    <x v="27"/>
    <x v="0"/>
    <x v="0"/>
  </r>
  <r>
    <x v="448"/>
    <x v="178"/>
    <x v="6"/>
    <x v="2"/>
    <x v="30"/>
    <x v="10"/>
    <x v="0"/>
    <x v="0"/>
  </r>
  <r>
    <x v="449"/>
    <x v="25"/>
    <x v="9"/>
    <x v="2"/>
    <x v="0"/>
    <x v="19"/>
    <x v="1"/>
    <x v="1"/>
  </r>
  <r>
    <x v="450"/>
    <x v="237"/>
    <x v="2"/>
    <x v="2"/>
    <x v="12"/>
    <x v="15"/>
    <x v="0"/>
    <x v="0"/>
  </r>
  <r>
    <x v="451"/>
    <x v="59"/>
    <x v="6"/>
    <x v="3"/>
    <x v="43"/>
    <x v="0"/>
    <x v="0"/>
    <x v="0"/>
  </r>
  <r>
    <x v="452"/>
    <x v="93"/>
    <x v="8"/>
    <x v="0"/>
    <x v="55"/>
    <x v="7"/>
    <x v="1"/>
    <x v="1"/>
  </r>
  <r>
    <x v="453"/>
    <x v="149"/>
    <x v="4"/>
    <x v="0"/>
    <x v="48"/>
    <x v="40"/>
    <x v="0"/>
    <x v="0"/>
  </r>
  <r>
    <x v="454"/>
    <x v="2"/>
    <x v="5"/>
    <x v="0"/>
    <x v="88"/>
    <x v="13"/>
    <x v="0"/>
    <x v="0"/>
  </r>
  <r>
    <x v="455"/>
    <x v="295"/>
    <x v="1"/>
    <x v="0"/>
    <x v="29"/>
    <x v="33"/>
    <x v="0"/>
    <x v="0"/>
  </r>
  <r>
    <x v="456"/>
    <x v="229"/>
    <x v="7"/>
    <x v="0"/>
    <x v="59"/>
    <x v="13"/>
    <x v="0"/>
    <x v="0"/>
  </r>
  <r>
    <x v="457"/>
    <x v="296"/>
    <x v="0"/>
    <x v="3"/>
    <x v="17"/>
    <x v="10"/>
    <x v="0"/>
    <x v="0"/>
  </r>
  <r>
    <x v="458"/>
    <x v="89"/>
    <x v="4"/>
    <x v="1"/>
    <x v="37"/>
    <x v="8"/>
    <x v="1"/>
    <x v="1"/>
  </r>
  <r>
    <x v="459"/>
    <x v="256"/>
    <x v="9"/>
    <x v="1"/>
    <x v="47"/>
    <x v="24"/>
    <x v="0"/>
    <x v="0"/>
  </r>
  <r>
    <x v="460"/>
    <x v="158"/>
    <x v="7"/>
    <x v="3"/>
    <x v="21"/>
    <x v="28"/>
    <x v="0"/>
    <x v="0"/>
  </r>
  <r>
    <x v="461"/>
    <x v="236"/>
    <x v="6"/>
    <x v="1"/>
    <x v="27"/>
    <x v="19"/>
    <x v="1"/>
    <x v="1"/>
  </r>
  <r>
    <x v="462"/>
    <x v="5"/>
    <x v="8"/>
    <x v="3"/>
    <x v="72"/>
    <x v="26"/>
    <x v="0"/>
    <x v="0"/>
  </r>
  <r>
    <x v="463"/>
    <x v="31"/>
    <x v="5"/>
    <x v="1"/>
    <x v="70"/>
    <x v="13"/>
    <x v="1"/>
    <x v="1"/>
  </r>
  <r>
    <x v="464"/>
    <x v="297"/>
    <x v="1"/>
    <x v="1"/>
    <x v="23"/>
    <x v="29"/>
    <x v="0"/>
    <x v="0"/>
  </r>
  <r>
    <x v="465"/>
    <x v="177"/>
    <x v="7"/>
    <x v="0"/>
    <x v="35"/>
    <x v="9"/>
    <x v="0"/>
    <x v="0"/>
  </r>
  <r>
    <x v="466"/>
    <x v="199"/>
    <x v="1"/>
    <x v="1"/>
    <x v="75"/>
    <x v="15"/>
    <x v="0"/>
    <x v="0"/>
  </r>
  <r>
    <x v="467"/>
    <x v="298"/>
    <x v="7"/>
    <x v="1"/>
    <x v="73"/>
    <x v="32"/>
    <x v="0"/>
    <x v="0"/>
  </r>
  <r>
    <x v="468"/>
    <x v="16"/>
    <x v="4"/>
    <x v="3"/>
    <x v="80"/>
    <x v="13"/>
    <x v="0"/>
    <x v="0"/>
  </r>
  <r>
    <x v="469"/>
    <x v="177"/>
    <x v="0"/>
    <x v="3"/>
    <x v="58"/>
    <x v="38"/>
    <x v="1"/>
    <x v="1"/>
  </r>
  <r>
    <x v="470"/>
    <x v="13"/>
    <x v="1"/>
    <x v="2"/>
    <x v="18"/>
    <x v="36"/>
    <x v="0"/>
    <x v="0"/>
  </r>
  <r>
    <x v="471"/>
    <x v="204"/>
    <x v="1"/>
    <x v="1"/>
    <x v="9"/>
    <x v="18"/>
    <x v="0"/>
    <x v="0"/>
  </r>
  <r>
    <x v="472"/>
    <x v="299"/>
    <x v="7"/>
    <x v="0"/>
    <x v="50"/>
    <x v="33"/>
    <x v="0"/>
    <x v="0"/>
  </r>
  <r>
    <x v="473"/>
    <x v="56"/>
    <x v="5"/>
    <x v="1"/>
    <x v="37"/>
    <x v="1"/>
    <x v="0"/>
    <x v="0"/>
  </r>
  <r>
    <x v="474"/>
    <x v="300"/>
    <x v="1"/>
    <x v="0"/>
    <x v="1"/>
    <x v="10"/>
    <x v="0"/>
    <x v="0"/>
  </r>
  <r>
    <x v="475"/>
    <x v="15"/>
    <x v="6"/>
    <x v="2"/>
    <x v="86"/>
    <x v="2"/>
    <x v="0"/>
    <x v="0"/>
  </r>
  <r>
    <x v="476"/>
    <x v="51"/>
    <x v="8"/>
    <x v="1"/>
    <x v="77"/>
    <x v="7"/>
    <x v="0"/>
    <x v="0"/>
  </r>
  <r>
    <x v="477"/>
    <x v="255"/>
    <x v="9"/>
    <x v="0"/>
    <x v="37"/>
    <x v="36"/>
    <x v="0"/>
    <x v="0"/>
  </r>
  <r>
    <x v="478"/>
    <x v="301"/>
    <x v="6"/>
    <x v="2"/>
    <x v="4"/>
    <x v="3"/>
    <x v="1"/>
    <x v="1"/>
  </r>
  <r>
    <x v="479"/>
    <x v="17"/>
    <x v="2"/>
    <x v="2"/>
    <x v="44"/>
    <x v="25"/>
    <x v="1"/>
    <x v="1"/>
  </r>
  <r>
    <x v="480"/>
    <x v="68"/>
    <x v="2"/>
    <x v="0"/>
    <x v="9"/>
    <x v="26"/>
    <x v="0"/>
    <x v="0"/>
  </r>
  <r>
    <x v="481"/>
    <x v="302"/>
    <x v="0"/>
    <x v="0"/>
    <x v="8"/>
    <x v="9"/>
    <x v="0"/>
    <x v="0"/>
  </r>
  <r>
    <x v="482"/>
    <x v="42"/>
    <x v="1"/>
    <x v="3"/>
    <x v="40"/>
    <x v="17"/>
    <x v="1"/>
    <x v="1"/>
  </r>
  <r>
    <x v="483"/>
    <x v="303"/>
    <x v="1"/>
    <x v="0"/>
    <x v="6"/>
    <x v="31"/>
    <x v="0"/>
    <x v="0"/>
  </r>
  <r>
    <x v="484"/>
    <x v="46"/>
    <x v="5"/>
    <x v="0"/>
    <x v="11"/>
    <x v="21"/>
    <x v="0"/>
    <x v="0"/>
  </r>
  <r>
    <x v="485"/>
    <x v="275"/>
    <x v="6"/>
    <x v="0"/>
    <x v="66"/>
    <x v="16"/>
    <x v="0"/>
    <x v="0"/>
  </r>
  <r>
    <x v="486"/>
    <x v="142"/>
    <x v="5"/>
    <x v="1"/>
    <x v="46"/>
    <x v="27"/>
    <x v="0"/>
    <x v="0"/>
  </r>
  <r>
    <x v="487"/>
    <x v="304"/>
    <x v="6"/>
    <x v="0"/>
    <x v="87"/>
    <x v="26"/>
    <x v="0"/>
    <x v="0"/>
  </r>
  <r>
    <x v="488"/>
    <x v="138"/>
    <x v="9"/>
    <x v="3"/>
    <x v="2"/>
    <x v="14"/>
    <x v="1"/>
    <x v="1"/>
  </r>
  <r>
    <x v="489"/>
    <x v="44"/>
    <x v="8"/>
    <x v="1"/>
    <x v="58"/>
    <x v="36"/>
    <x v="0"/>
    <x v="0"/>
  </r>
  <r>
    <x v="490"/>
    <x v="301"/>
    <x v="1"/>
    <x v="1"/>
    <x v="20"/>
    <x v="25"/>
    <x v="0"/>
    <x v="0"/>
  </r>
  <r>
    <x v="491"/>
    <x v="305"/>
    <x v="9"/>
    <x v="3"/>
    <x v="34"/>
    <x v="12"/>
    <x v="0"/>
    <x v="0"/>
  </r>
  <r>
    <x v="492"/>
    <x v="306"/>
    <x v="9"/>
    <x v="2"/>
    <x v="65"/>
    <x v="4"/>
    <x v="0"/>
    <x v="0"/>
  </r>
  <r>
    <x v="493"/>
    <x v="307"/>
    <x v="6"/>
    <x v="2"/>
    <x v="34"/>
    <x v="4"/>
    <x v="0"/>
    <x v="0"/>
  </r>
  <r>
    <x v="494"/>
    <x v="135"/>
    <x v="4"/>
    <x v="0"/>
    <x v="85"/>
    <x v="6"/>
    <x v="1"/>
    <x v="1"/>
  </r>
  <r>
    <x v="495"/>
    <x v="228"/>
    <x v="6"/>
    <x v="2"/>
    <x v="82"/>
    <x v="15"/>
    <x v="0"/>
    <x v="0"/>
  </r>
  <r>
    <x v="496"/>
    <x v="152"/>
    <x v="0"/>
    <x v="3"/>
    <x v="88"/>
    <x v="24"/>
    <x v="0"/>
    <x v="0"/>
  </r>
  <r>
    <x v="497"/>
    <x v="264"/>
    <x v="6"/>
    <x v="3"/>
    <x v="58"/>
    <x v="27"/>
    <x v="0"/>
    <x v="0"/>
  </r>
  <r>
    <x v="498"/>
    <x v="255"/>
    <x v="5"/>
    <x v="2"/>
    <x v="55"/>
    <x v="12"/>
    <x v="0"/>
    <x v="0"/>
  </r>
  <r>
    <x v="499"/>
    <x v="308"/>
    <x v="8"/>
    <x v="2"/>
    <x v="29"/>
    <x v="32"/>
    <x v="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C354"/>
    <s v="B0005"/>
    <x v="0"/>
    <x v="0"/>
    <x v="0"/>
  </r>
  <r>
    <x v="1"/>
    <s v="C215"/>
    <s v="B0008"/>
    <x v="1"/>
    <x v="0"/>
    <x v="1"/>
  </r>
  <r>
    <x v="2"/>
    <s v="C475"/>
    <s v="B0004"/>
    <x v="2"/>
    <x v="1"/>
    <x v="2"/>
  </r>
  <r>
    <x v="3"/>
    <s v="C311"/>
    <s v="B0007"/>
    <x v="3"/>
    <x v="0"/>
    <x v="3"/>
  </r>
  <r>
    <x v="4"/>
    <s v="C532"/>
    <s v="B0007"/>
    <x v="4"/>
    <x v="0"/>
    <x v="4"/>
  </r>
  <r>
    <x v="5"/>
    <s v="C314"/>
    <s v="B0009"/>
    <x v="5"/>
    <x v="1"/>
    <x v="5"/>
  </r>
  <r>
    <x v="6"/>
    <s v="C192"/>
    <s v="B0006"/>
    <x v="6"/>
    <x v="0"/>
    <x v="6"/>
  </r>
  <r>
    <x v="7"/>
    <s v="C264"/>
    <s v="B0001"/>
    <x v="7"/>
    <x v="1"/>
    <x v="7"/>
  </r>
  <r>
    <x v="8"/>
    <s v="C324"/>
    <s v="B0006"/>
    <x v="8"/>
    <x v="1"/>
    <x v="8"/>
  </r>
  <r>
    <x v="9"/>
    <s v="C384"/>
    <s v="B0008"/>
    <x v="9"/>
    <x v="0"/>
    <x v="9"/>
  </r>
  <r>
    <x v="10"/>
    <s v="C143"/>
    <s v="B0001"/>
    <x v="10"/>
    <x v="1"/>
    <x v="10"/>
  </r>
  <r>
    <x v="11"/>
    <s v="C376"/>
    <s v="B0002"/>
    <x v="11"/>
    <x v="0"/>
    <x v="11"/>
  </r>
  <r>
    <x v="12"/>
    <s v="C521"/>
    <s v="B0004"/>
    <x v="12"/>
    <x v="0"/>
    <x v="12"/>
  </r>
  <r>
    <x v="13"/>
    <s v="C346"/>
    <s v="B0001"/>
    <x v="13"/>
    <x v="0"/>
    <x v="13"/>
  </r>
  <r>
    <x v="14"/>
    <s v="C160"/>
    <s v="B0002"/>
    <x v="14"/>
    <x v="1"/>
    <x v="14"/>
  </r>
  <r>
    <x v="15"/>
    <s v="C136"/>
    <s v="B0005"/>
    <x v="15"/>
    <x v="0"/>
    <x v="15"/>
  </r>
  <r>
    <x v="16"/>
    <s v="C358"/>
    <s v="B0001"/>
    <x v="16"/>
    <x v="0"/>
    <x v="16"/>
  </r>
  <r>
    <x v="17"/>
    <s v="C123"/>
    <s v="B0010"/>
    <x v="15"/>
    <x v="0"/>
    <x v="7"/>
  </r>
  <r>
    <x v="18"/>
    <s v="C545"/>
    <s v="B0001"/>
    <x v="17"/>
    <x v="1"/>
    <x v="7"/>
  </r>
  <r>
    <x v="19"/>
    <s v="C330"/>
    <s v="B0004"/>
    <x v="13"/>
    <x v="0"/>
    <x v="1"/>
  </r>
  <r>
    <x v="20"/>
    <s v="C190"/>
    <s v="B0001"/>
    <x v="0"/>
    <x v="1"/>
    <x v="10"/>
  </r>
  <r>
    <x v="21"/>
    <s v="C113"/>
    <s v="B0004"/>
    <x v="18"/>
    <x v="0"/>
    <x v="12"/>
  </r>
  <r>
    <x v="22"/>
    <s v="C592"/>
    <s v="B0008"/>
    <x v="19"/>
    <x v="0"/>
    <x v="17"/>
  </r>
  <r>
    <x v="23"/>
    <s v="C433"/>
    <s v="B0008"/>
    <x v="20"/>
    <x v="0"/>
    <x v="17"/>
  </r>
  <r>
    <x v="24"/>
    <s v="C459"/>
    <s v="B0008"/>
    <x v="21"/>
    <x v="1"/>
    <x v="14"/>
  </r>
  <r>
    <x v="25"/>
    <s v="C144"/>
    <s v="B0008"/>
    <x v="22"/>
    <x v="0"/>
    <x v="18"/>
  </r>
  <r>
    <x v="26"/>
    <s v="C187"/>
    <s v="B0007"/>
    <x v="23"/>
    <x v="1"/>
    <x v="19"/>
  </r>
  <r>
    <x v="27"/>
    <s v="C156"/>
    <s v="B0007"/>
    <x v="17"/>
    <x v="0"/>
    <x v="20"/>
  </r>
  <r>
    <x v="28"/>
    <s v="C444"/>
    <s v="B0003"/>
    <x v="24"/>
    <x v="1"/>
    <x v="21"/>
  </r>
  <r>
    <x v="29"/>
    <s v="C479"/>
    <s v="B0003"/>
    <x v="25"/>
    <x v="0"/>
    <x v="22"/>
  </r>
  <r>
    <x v="30"/>
    <s v="C254"/>
    <s v="B0009"/>
    <x v="26"/>
    <x v="1"/>
    <x v="6"/>
  </r>
  <r>
    <x v="31"/>
    <s v="C337"/>
    <s v="B0007"/>
    <x v="27"/>
    <x v="1"/>
    <x v="13"/>
  </r>
  <r>
    <x v="32"/>
    <s v="C321"/>
    <s v="B0007"/>
    <x v="28"/>
    <x v="1"/>
    <x v="23"/>
  </r>
  <r>
    <x v="33"/>
    <s v="C489"/>
    <s v="B0008"/>
    <x v="29"/>
    <x v="1"/>
    <x v="11"/>
  </r>
  <r>
    <x v="34"/>
    <s v="C136"/>
    <s v="B0007"/>
    <x v="30"/>
    <x v="1"/>
    <x v="15"/>
  </r>
  <r>
    <x v="35"/>
    <s v="C397"/>
    <s v="B0007"/>
    <x v="31"/>
    <x v="0"/>
    <x v="15"/>
  </r>
  <r>
    <x v="36"/>
    <s v="C177"/>
    <s v="B0010"/>
    <x v="32"/>
    <x v="1"/>
    <x v="24"/>
  </r>
  <r>
    <x v="37"/>
    <s v="C241"/>
    <s v="B0010"/>
    <x v="9"/>
    <x v="1"/>
    <x v="8"/>
  </r>
  <r>
    <x v="38"/>
    <s v="C271"/>
    <s v="B0006"/>
    <x v="3"/>
    <x v="0"/>
    <x v="25"/>
  </r>
  <r>
    <x v="39"/>
    <s v="C221"/>
    <s v="B0010"/>
    <x v="33"/>
    <x v="1"/>
    <x v="26"/>
  </r>
  <r>
    <x v="40"/>
    <s v="C588"/>
    <s v="B0003"/>
    <x v="34"/>
    <x v="1"/>
    <x v="17"/>
  </r>
  <r>
    <x v="41"/>
    <s v="C392"/>
    <s v="B0003"/>
    <x v="35"/>
    <x v="0"/>
    <x v="27"/>
  </r>
  <r>
    <x v="42"/>
    <s v="C199"/>
    <s v="B0004"/>
    <x v="36"/>
    <x v="1"/>
    <x v="28"/>
  </r>
  <r>
    <x v="43"/>
    <s v="C502"/>
    <s v="B0002"/>
    <x v="18"/>
    <x v="1"/>
    <x v="26"/>
  </r>
  <r>
    <x v="44"/>
    <s v="C203"/>
    <s v="B0003"/>
    <x v="37"/>
    <x v="0"/>
    <x v="4"/>
  </r>
  <r>
    <x v="45"/>
    <s v="C579"/>
    <s v="B0008"/>
    <x v="38"/>
    <x v="1"/>
    <x v="29"/>
  </r>
  <r>
    <x v="46"/>
    <s v="C478"/>
    <s v="B0008"/>
    <x v="39"/>
    <x v="0"/>
    <x v="5"/>
  </r>
  <r>
    <x v="47"/>
    <s v="C286"/>
    <s v="B0008"/>
    <x v="40"/>
    <x v="1"/>
    <x v="12"/>
  </r>
  <r>
    <x v="48"/>
    <s v="C307"/>
    <s v="B0002"/>
    <x v="41"/>
    <x v="1"/>
    <x v="30"/>
  </r>
  <r>
    <x v="49"/>
    <s v="C142"/>
    <s v="B0007"/>
    <x v="42"/>
    <x v="1"/>
    <x v="26"/>
  </r>
  <r>
    <x v="50"/>
    <s v="C469"/>
    <s v="B0007"/>
    <x v="6"/>
    <x v="1"/>
    <x v="31"/>
  </r>
  <r>
    <x v="51"/>
    <s v="C330"/>
    <s v="B0007"/>
    <x v="43"/>
    <x v="1"/>
    <x v="28"/>
  </r>
  <r>
    <x v="52"/>
    <s v="C547"/>
    <s v="B0004"/>
    <x v="11"/>
    <x v="0"/>
    <x v="32"/>
  </r>
  <r>
    <x v="53"/>
    <s v="C131"/>
    <s v="B0001"/>
    <x v="9"/>
    <x v="1"/>
    <x v="21"/>
  </r>
  <r>
    <x v="54"/>
    <s v="C415"/>
    <s v="B0003"/>
    <x v="44"/>
    <x v="1"/>
    <x v="33"/>
  </r>
  <r>
    <x v="55"/>
    <s v="C145"/>
    <s v="B0005"/>
    <x v="45"/>
    <x v="0"/>
    <x v="34"/>
  </r>
  <r>
    <x v="56"/>
    <s v="C145"/>
    <s v="B0004"/>
    <x v="0"/>
    <x v="0"/>
    <x v="35"/>
  </r>
  <r>
    <x v="57"/>
    <s v="C202"/>
    <s v="B0002"/>
    <x v="29"/>
    <x v="1"/>
    <x v="32"/>
  </r>
  <r>
    <x v="58"/>
    <s v="C176"/>
    <s v="B0010"/>
    <x v="46"/>
    <x v="1"/>
    <x v="5"/>
  </r>
  <r>
    <x v="59"/>
    <s v="C562"/>
    <s v="B0009"/>
    <x v="22"/>
    <x v="1"/>
    <x v="4"/>
  </r>
  <r>
    <x v="60"/>
    <s v="C594"/>
    <s v="B0003"/>
    <x v="7"/>
    <x v="1"/>
    <x v="18"/>
  </r>
  <r>
    <x v="61"/>
    <s v="C553"/>
    <s v="B0008"/>
    <x v="47"/>
    <x v="0"/>
    <x v="36"/>
  </r>
  <r>
    <x v="62"/>
    <s v="C512"/>
    <s v="B0004"/>
    <x v="48"/>
    <x v="0"/>
    <x v="32"/>
  </r>
  <r>
    <x v="63"/>
    <s v="C235"/>
    <s v="B0004"/>
    <x v="49"/>
    <x v="1"/>
    <x v="2"/>
  </r>
  <r>
    <x v="64"/>
    <s v="C286"/>
    <s v="B0002"/>
    <x v="50"/>
    <x v="1"/>
    <x v="22"/>
  </r>
  <r>
    <x v="65"/>
    <s v="C587"/>
    <s v="B0005"/>
    <x v="34"/>
    <x v="0"/>
    <x v="18"/>
  </r>
  <r>
    <x v="66"/>
    <s v="C485"/>
    <s v="B0009"/>
    <x v="51"/>
    <x v="1"/>
    <x v="16"/>
  </r>
  <r>
    <x v="67"/>
    <s v="C355"/>
    <s v="B0001"/>
    <x v="52"/>
    <x v="1"/>
    <x v="37"/>
  </r>
  <r>
    <x v="68"/>
    <s v="C465"/>
    <s v="B0010"/>
    <x v="53"/>
    <x v="1"/>
    <x v="0"/>
  </r>
  <r>
    <x v="69"/>
    <s v="C462"/>
    <s v="B0001"/>
    <x v="54"/>
    <x v="1"/>
    <x v="23"/>
  </r>
  <r>
    <x v="70"/>
    <s v="C389"/>
    <s v="B0009"/>
    <x v="55"/>
    <x v="1"/>
    <x v="11"/>
  </r>
  <r>
    <x v="71"/>
    <s v="C251"/>
    <s v="B0001"/>
    <x v="49"/>
    <x v="0"/>
    <x v="38"/>
  </r>
  <r>
    <x v="72"/>
    <s v="C126"/>
    <s v="B0009"/>
    <x v="56"/>
    <x v="1"/>
    <x v="36"/>
  </r>
  <r>
    <x v="73"/>
    <s v="C297"/>
    <s v="B0001"/>
    <x v="57"/>
    <x v="1"/>
    <x v="26"/>
  </r>
  <r>
    <x v="74"/>
    <s v="C384"/>
    <s v="B0001"/>
    <x v="5"/>
    <x v="0"/>
    <x v="39"/>
  </r>
  <r>
    <x v="75"/>
    <s v="C253"/>
    <s v="B0001"/>
    <x v="13"/>
    <x v="0"/>
    <x v="31"/>
  </r>
  <r>
    <x v="76"/>
    <s v="C267"/>
    <s v="B0003"/>
    <x v="58"/>
    <x v="0"/>
    <x v="33"/>
  </r>
  <r>
    <x v="77"/>
    <s v="C518"/>
    <s v="B0007"/>
    <x v="55"/>
    <x v="1"/>
    <x v="19"/>
  </r>
  <r>
    <x v="78"/>
    <s v="C278"/>
    <s v="B0002"/>
    <x v="59"/>
    <x v="0"/>
    <x v="17"/>
  </r>
  <r>
    <x v="79"/>
    <s v="C465"/>
    <s v="B0008"/>
    <x v="42"/>
    <x v="1"/>
    <x v="1"/>
  </r>
  <r>
    <x v="80"/>
    <s v="C511"/>
    <s v="B0008"/>
    <x v="60"/>
    <x v="0"/>
    <x v="24"/>
  </r>
  <r>
    <x v="81"/>
    <s v="C463"/>
    <s v="B0005"/>
    <x v="24"/>
    <x v="0"/>
    <x v="15"/>
  </r>
  <r>
    <x v="82"/>
    <s v="C497"/>
    <s v="B0009"/>
    <x v="61"/>
    <x v="0"/>
    <x v="0"/>
  </r>
  <r>
    <x v="83"/>
    <s v="C222"/>
    <s v="B0003"/>
    <x v="0"/>
    <x v="1"/>
    <x v="15"/>
  </r>
  <r>
    <x v="84"/>
    <s v="C249"/>
    <s v="B0003"/>
    <x v="62"/>
    <x v="1"/>
    <x v="25"/>
  </r>
  <r>
    <x v="85"/>
    <s v="C417"/>
    <s v="B0007"/>
    <x v="63"/>
    <x v="0"/>
    <x v="10"/>
  </r>
  <r>
    <x v="86"/>
    <s v="C566"/>
    <s v="B0002"/>
    <x v="64"/>
    <x v="1"/>
    <x v="13"/>
  </r>
  <r>
    <x v="87"/>
    <s v="C322"/>
    <s v="B0003"/>
    <x v="65"/>
    <x v="0"/>
    <x v="33"/>
  </r>
  <r>
    <x v="88"/>
    <s v="C506"/>
    <s v="B0004"/>
    <x v="66"/>
    <x v="1"/>
    <x v="14"/>
  </r>
  <r>
    <x v="89"/>
    <s v="C534"/>
    <s v="B0006"/>
    <x v="37"/>
    <x v="1"/>
    <x v="40"/>
  </r>
  <r>
    <x v="90"/>
    <s v="C550"/>
    <s v="B0010"/>
    <x v="67"/>
    <x v="1"/>
    <x v="27"/>
  </r>
  <r>
    <x v="91"/>
    <s v="C334"/>
    <s v="B0001"/>
    <x v="68"/>
    <x v="1"/>
    <x v="38"/>
  </r>
  <r>
    <x v="92"/>
    <s v="C337"/>
    <s v="B0005"/>
    <x v="69"/>
    <x v="0"/>
    <x v="27"/>
  </r>
  <r>
    <x v="93"/>
    <s v="C541"/>
    <s v="B0002"/>
    <x v="70"/>
    <x v="1"/>
    <x v="16"/>
  </r>
  <r>
    <x v="94"/>
    <s v="C472"/>
    <s v="B0008"/>
    <x v="21"/>
    <x v="1"/>
    <x v="35"/>
  </r>
  <r>
    <x v="95"/>
    <s v="C416"/>
    <s v="B0002"/>
    <x v="71"/>
    <x v="0"/>
    <x v="26"/>
  </r>
  <r>
    <x v="96"/>
    <s v="C354"/>
    <s v="B0002"/>
    <x v="63"/>
    <x v="1"/>
    <x v="12"/>
  </r>
  <r>
    <x v="97"/>
    <s v="C381"/>
    <s v="B0007"/>
    <x v="72"/>
    <x v="1"/>
    <x v="41"/>
  </r>
  <r>
    <x v="98"/>
    <s v="C302"/>
    <s v="B0007"/>
    <x v="73"/>
    <x v="1"/>
    <x v="30"/>
  </r>
  <r>
    <x v="99"/>
    <s v="C539"/>
    <s v="B0008"/>
    <x v="74"/>
    <x v="0"/>
    <x v="36"/>
  </r>
  <r>
    <x v="100"/>
    <s v="C401"/>
    <s v="B0006"/>
    <x v="52"/>
    <x v="0"/>
    <x v="17"/>
  </r>
  <r>
    <x v="101"/>
    <s v="C596"/>
    <s v="B0007"/>
    <x v="75"/>
    <x v="0"/>
    <x v="16"/>
  </r>
  <r>
    <x v="102"/>
    <s v="C385"/>
    <s v="B0009"/>
    <x v="76"/>
    <x v="0"/>
    <x v="18"/>
  </r>
  <r>
    <x v="103"/>
    <s v="C571"/>
    <s v="B0007"/>
    <x v="77"/>
    <x v="1"/>
    <x v="42"/>
  </r>
  <r>
    <x v="104"/>
    <s v="C502"/>
    <s v="B0005"/>
    <x v="78"/>
    <x v="1"/>
    <x v="22"/>
  </r>
  <r>
    <x v="105"/>
    <s v="C478"/>
    <s v="B0007"/>
    <x v="79"/>
    <x v="0"/>
    <x v="43"/>
  </r>
  <r>
    <x v="106"/>
    <s v="C390"/>
    <s v="B0007"/>
    <x v="24"/>
    <x v="0"/>
    <x v="30"/>
  </r>
  <r>
    <x v="107"/>
    <s v="C518"/>
    <s v="B0010"/>
    <x v="9"/>
    <x v="1"/>
    <x v="23"/>
  </r>
  <r>
    <x v="108"/>
    <s v="C476"/>
    <s v="B0001"/>
    <x v="80"/>
    <x v="0"/>
    <x v="32"/>
  </r>
  <r>
    <x v="109"/>
    <s v="C482"/>
    <s v="B0009"/>
    <x v="81"/>
    <x v="1"/>
    <x v="8"/>
  </r>
  <r>
    <x v="110"/>
    <s v="C470"/>
    <s v="B0009"/>
    <x v="82"/>
    <x v="0"/>
    <x v="39"/>
  </r>
  <r>
    <x v="111"/>
    <s v="C491"/>
    <s v="B0010"/>
    <x v="83"/>
    <x v="0"/>
    <x v="20"/>
  </r>
  <r>
    <x v="112"/>
    <s v="C306"/>
    <s v="B0007"/>
    <x v="84"/>
    <x v="0"/>
    <x v="31"/>
  </r>
  <r>
    <x v="113"/>
    <s v="C251"/>
    <s v="B0005"/>
    <x v="85"/>
    <x v="0"/>
    <x v="12"/>
  </r>
  <r>
    <x v="114"/>
    <s v="C345"/>
    <s v="B0004"/>
    <x v="86"/>
    <x v="0"/>
    <x v="31"/>
  </r>
  <r>
    <x v="115"/>
    <s v="C309"/>
    <s v="B0004"/>
    <x v="48"/>
    <x v="1"/>
    <x v="44"/>
  </r>
  <r>
    <x v="116"/>
    <s v="C264"/>
    <s v="B0006"/>
    <x v="87"/>
    <x v="0"/>
    <x v="45"/>
  </r>
  <r>
    <x v="117"/>
    <s v="C422"/>
    <s v="B0002"/>
    <x v="88"/>
    <x v="0"/>
    <x v="5"/>
  </r>
  <r>
    <x v="118"/>
    <s v="C147"/>
    <s v="B0003"/>
    <x v="89"/>
    <x v="1"/>
    <x v="2"/>
  </r>
  <r>
    <x v="119"/>
    <s v="C420"/>
    <s v="B0003"/>
    <x v="78"/>
    <x v="1"/>
    <x v="40"/>
  </r>
  <r>
    <x v="120"/>
    <s v="C459"/>
    <s v="B0008"/>
    <x v="6"/>
    <x v="1"/>
    <x v="11"/>
  </r>
  <r>
    <x v="121"/>
    <s v="C259"/>
    <s v="B0001"/>
    <x v="90"/>
    <x v="0"/>
    <x v="46"/>
  </r>
  <r>
    <x v="122"/>
    <s v="C451"/>
    <s v="B0005"/>
    <x v="87"/>
    <x v="0"/>
    <x v="3"/>
  </r>
  <r>
    <x v="123"/>
    <s v="C332"/>
    <s v="B0004"/>
    <x v="91"/>
    <x v="1"/>
    <x v="47"/>
  </r>
  <r>
    <x v="124"/>
    <s v="C279"/>
    <s v="B0008"/>
    <x v="92"/>
    <x v="0"/>
    <x v="30"/>
  </r>
  <r>
    <x v="125"/>
    <s v="C356"/>
    <s v="B0004"/>
    <x v="43"/>
    <x v="1"/>
    <x v="42"/>
  </r>
  <r>
    <x v="126"/>
    <s v="C449"/>
    <s v="B0007"/>
    <x v="72"/>
    <x v="0"/>
    <x v="19"/>
  </r>
  <r>
    <x v="127"/>
    <s v="C456"/>
    <s v="B0009"/>
    <x v="93"/>
    <x v="1"/>
    <x v="34"/>
  </r>
  <r>
    <x v="128"/>
    <s v="C198"/>
    <s v="B0002"/>
    <x v="94"/>
    <x v="0"/>
    <x v="20"/>
  </r>
  <r>
    <x v="129"/>
    <s v="C501"/>
    <s v="B0003"/>
    <x v="95"/>
    <x v="1"/>
    <x v="41"/>
  </r>
  <r>
    <x v="130"/>
    <s v="C218"/>
    <s v="B0001"/>
    <x v="96"/>
    <x v="0"/>
    <x v="24"/>
  </r>
  <r>
    <x v="131"/>
    <s v="C106"/>
    <s v="B0004"/>
    <x v="97"/>
    <x v="0"/>
    <x v="4"/>
  </r>
  <r>
    <x v="132"/>
    <s v="C259"/>
    <s v="B0002"/>
    <x v="29"/>
    <x v="1"/>
    <x v="38"/>
  </r>
  <r>
    <x v="133"/>
    <s v="C432"/>
    <s v="B0001"/>
    <x v="98"/>
    <x v="1"/>
    <x v="27"/>
  </r>
  <r>
    <x v="134"/>
    <s v="C499"/>
    <s v="B0008"/>
    <x v="31"/>
    <x v="0"/>
    <x v="36"/>
  </r>
  <r>
    <x v="135"/>
    <s v="C416"/>
    <s v="B0004"/>
    <x v="99"/>
    <x v="0"/>
    <x v="30"/>
  </r>
  <r>
    <x v="136"/>
    <s v="C584"/>
    <s v="B0005"/>
    <x v="89"/>
    <x v="1"/>
    <x v="7"/>
  </r>
  <r>
    <x v="137"/>
    <s v="C330"/>
    <s v="B0001"/>
    <x v="82"/>
    <x v="0"/>
    <x v="25"/>
  </r>
  <r>
    <x v="138"/>
    <s v="C223"/>
    <s v="B0002"/>
    <x v="34"/>
    <x v="0"/>
    <x v="21"/>
  </r>
  <r>
    <x v="139"/>
    <s v="C539"/>
    <s v="B0006"/>
    <x v="100"/>
    <x v="1"/>
    <x v="30"/>
  </r>
  <r>
    <x v="140"/>
    <s v="C411"/>
    <s v="B0007"/>
    <x v="101"/>
    <x v="0"/>
    <x v="41"/>
  </r>
  <r>
    <x v="141"/>
    <s v="C257"/>
    <s v="B0009"/>
    <x v="39"/>
    <x v="0"/>
    <x v="45"/>
  </r>
  <r>
    <x v="142"/>
    <s v="C187"/>
    <s v="B0009"/>
    <x v="102"/>
    <x v="1"/>
    <x v="23"/>
  </r>
  <r>
    <x v="143"/>
    <s v="C217"/>
    <s v="B0010"/>
    <x v="90"/>
    <x v="0"/>
    <x v="48"/>
  </r>
  <r>
    <x v="144"/>
    <s v="C373"/>
    <s v="B0010"/>
    <x v="58"/>
    <x v="0"/>
    <x v="39"/>
  </r>
  <r>
    <x v="145"/>
    <s v="C462"/>
    <s v="B0004"/>
    <x v="34"/>
    <x v="1"/>
    <x v="40"/>
  </r>
  <r>
    <x v="146"/>
    <s v="C487"/>
    <s v="B0008"/>
    <x v="103"/>
    <x v="0"/>
    <x v="46"/>
  </r>
  <r>
    <x v="147"/>
    <s v="C124"/>
    <s v="B0008"/>
    <x v="58"/>
    <x v="1"/>
    <x v="47"/>
  </r>
  <r>
    <x v="148"/>
    <s v="C301"/>
    <s v="B0002"/>
    <x v="104"/>
    <x v="1"/>
    <x v="11"/>
  </r>
  <r>
    <x v="149"/>
    <s v="C103"/>
    <s v="B0001"/>
    <x v="105"/>
    <x v="0"/>
    <x v="26"/>
  </r>
  <r>
    <x v="150"/>
    <s v="C582"/>
    <s v="B0006"/>
    <x v="1"/>
    <x v="1"/>
    <x v="2"/>
  </r>
  <r>
    <x v="151"/>
    <s v="C459"/>
    <s v="B0009"/>
    <x v="89"/>
    <x v="1"/>
    <x v="5"/>
  </r>
  <r>
    <x v="152"/>
    <s v="C258"/>
    <s v="B0004"/>
    <x v="42"/>
    <x v="1"/>
    <x v="17"/>
  </r>
  <r>
    <x v="153"/>
    <s v="C377"/>
    <s v="B0004"/>
    <x v="90"/>
    <x v="0"/>
    <x v="35"/>
  </r>
  <r>
    <x v="154"/>
    <s v="C575"/>
    <s v="B0008"/>
    <x v="87"/>
    <x v="0"/>
    <x v="43"/>
  </r>
  <r>
    <x v="155"/>
    <s v="C583"/>
    <s v="B0002"/>
    <x v="64"/>
    <x v="0"/>
    <x v="5"/>
  </r>
  <r>
    <x v="156"/>
    <s v="C556"/>
    <s v="B0008"/>
    <x v="106"/>
    <x v="0"/>
    <x v="8"/>
  </r>
  <r>
    <x v="157"/>
    <s v="C257"/>
    <s v="B0002"/>
    <x v="72"/>
    <x v="1"/>
    <x v="33"/>
  </r>
  <r>
    <x v="158"/>
    <s v="C235"/>
    <s v="B0004"/>
    <x v="46"/>
    <x v="1"/>
    <x v="28"/>
  </r>
  <r>
    <x v="159"/>
    <s v="C130"/>
    <s v="B0002"/>
    <x v="49"/>
    <x v="1"/>
    <x v="5"/>
  </r>
  <r>
    <x v="160"/>
    <s v="C512"/>
    <s v="B0007"/>
    <x v="107"/>
    <x v="0"/>
    <x v="10"/>
  </r>
  <r>
    <x v="161"/>
    <s v="C418"/>
    <s v="B0003"/>
    <x v="107"/>
    <x v="1"/>
    <x v="29"/>
  </r>
  <r>
    <x v="162"/>
    <s v="C269"/>
    <s v="B0008"/>
    <x v="86"/>
    <x v="1"/>
    <x v="29"/>
  </r>
  <r>
    <x v="163"/>
    <s v="C146"/>
    <s v="B0006"/>
    <x v="108"/>
    <x v="0"/>
    <x v="22"/>
  </r>
  <r>
    <x v="164"/>
    <s v="C172"/>
    <s v="B0009"/>
    <x v="109"/>
    <x v="0"/>
    <x v="48"/>
  </r>
  <r>
    <x v="165"/>
    <s v="C244"/>
    <s v="B0008"/>
    <x v="77"/>
    <x v="0"/>
    <x v="19"/>
  </r>
  <r>
    <x v="166"/>
    <s v="C412"/>
    <s v="B0001"/>
    <x v="110"/>
    <x v="0"/>
    <x v="16"/>
  </r>
  <r>
    <x v="167"/>
    <s v="C540"/>
    <s v="B0001"/>
    <x v="111"/>
    <x v="1"/>
    <x v="6"/>
  </r>
  <r>
    <x v="168"/>
    <s v="C198"/>
    <s v="B0004"/>
    <x v="112"/>
    <x v="1"/>
    <x v="15"/>
  </r>
  <r>
    <x v="169"/>
    <s v="C504"/>
    <s v="B0003"/>
    <x v="113"/>
    <x v="0"/>
    <x v="48"/>
  </r>
  <r>
    <x v="170"/>
    <s v="C250"/>
    <s v="B0005"/>
    <x v="19"/>
    <x v="0"/>
    <x v="37"/>
  </r>
  <r>
    <x v="171"/>
    <s v="C267"/>
    <s v="B0010"/>
    <x v="114"/>
    <x v="0"/>
    <x v="16"/>
  </r>
  <r>
    <x v="172"/>
    <s v="C241"/>
    <s v="B0010"/>
    <x v="84"/>
    <x v="0"/>
    <x v="20"/>
  </r>
  <r>
    <x v="173"/>
    <s v="C583"/>
    <s v="B0003"/>
    <x v="7"/>
    <x v="1"/>
    <x v="6"/>
  </r>
  <r>
    <x v="174"/>
    <s v="C308"/>
    <s v="B0002"/>
    <x v="115"/>
    <x v="1"/>
    <x v="41"/>
  </r>
  <r>
    <x v="175"/>
    <s v="C482"/>
    <s v="B0004"/>
    <x v="87"/>
    <x v="1"/>
    <x v="25"/>
  </r>
  <r>
    <x v="176"/>
    <s v="C468"/>
    <s v="B0007"/>
    <x v="50"/>
    <x v="0"/>
    <x v="39"/>
  </r>
  <r>
    <x v="177"/>
    <s v="C395"/>
    <s v="B0004"/>
    <x v="116"/>
    <x v="0"/>
    <x v="7"/>
  </r>
  <r>
    <x v="178"/>
    <s v="C578"/>
    <s v="B0006"/>
    <x v="66"/>
    <x v="1"/>
    <x v="47"/>
  </r>
  <r>
    <x v="179"/>
    <s v="C241"/>
    <s v="B0008"/>
    <x v="19"/>
    <x v="1"/>
    <x v="21"/>
  </r>
  <r>
    <x v="180"/>
    <s v="C182"/>
    <s v="B0010"/>
    <x v="117"/>
    <x v="1"/>
    <x v="2"/>
  </r>
  <r>
    <x v="181"/>
    <s v="C593"/>
    <s v="B0010"/>
    <x v="82"/>
    <x v="0"/>
    <x v="24"/>
  </r>
  <r>
    <x v="182"/>
    <s v="C428"/>
    <s v="B0001"/>
    <x v="27"/>
    <x v="0"/>
    <x v="21"/>
  </r>
  <r>
    <x v="183"/>
    <s v="C371"/>
    <s v="B0001"/>
    <x v="118"/>
    <x v="1"/>
    <x v="44"/>
  </r>
  <r>
    <x v="184"/>
    <s v="C595"/>
    <s v="B0005"/>
    <x v="119"/>
    <x v="1"/>
    <x v="16"/>
  </r>
  <r>
    <x v="185"/>
    <s v="C442"/>
    <s v="B0004"/>
    <x v="120"/>
    <x v="1"/>
    <x v="38"/>
  </r>
  <r>
    <x v="186"/>
    <s v="C566"/>
    <s v="B0006"/>
    <x v="15"/>
    <x v="1"/>
    <x v="29"/>
  </r>
  <r>
    <x v="187"/>
    <s v="C407"/>
    <s v="B0009"/>
    <x v="47"/>
    <x v="0"/>
    <x v="32"/>
  </r>
  <r>
    <x v="188"/>
    <s v="C191"/>
    <s v="B0001"/>
    <x v="48"/>
    <x v="1"/>
    <x v="49"/>
  </r>
  <r>
    <x v="189"/>
    <s v="C104"/>
    <s v="B0002"/>
    <x v="121"/>
    <x v="1"/>
    <x v="30"/>
  </r>
  <r>
    <x v="190"/>
    <s v="C214"/>
    <s v="B0008"/>
    <x v="122"/>
    <x v="1"/>
    <x v="42"/>
  </r>
  <r>
    <x v="191"/>
    <s v="C149"/>
    <s v="B0009"/>
    <x v="72"/>
    <x v="1"/>
    <x v="0"/>
  </r>
  <r>
    <x v="192"/>
    <s v="C105"/>
    <s v="B0010"/>
    <x v="3"/>
    <x v="1"/>
    <x v="44"/>
  </r>
  <r>
    <x v="193"/>
    <s v="C396"/>
    <s v="B0007"/>
    <x v="32"/>
    <x v="1"/>
    <x v="8"/>
  </r>
  <r>
    <x v="194"/>
    <s v="C355"/>
    <s v="B0004"/>
    <x v="43"/>
    <x v="1"/>
    <x v="27"/>
  </r>
  <r>
    <x v="195"/>
    <s v="C399"/>
    <s v="B0009"/>
    <x v="123"/>
    <x v="1"/>
    <x v="31"/>
  </r>
  <r>
    <x v="196"/>
    <s v="C146"/>
    <s v="B0007"/>
    <x v="114"/>
    <x v="0"/>
    <x v="13"/>
  </r>
  <r>
    <x v="197"/>
    <s v="C538"/>
    <s v="B0004"/>
    <x v="124"/>
    <x v="0"/>
    <x v="17"/>
  </r>
  <r>
    <x v="198"/>
    <s v="C485"/>
    <s v="B0007"/>
    <x v="21"/>
    <x v="0"/>
    <x v="43"/>
  </r>
  <r>
    <x v="199"/>
    <s v="C249"/>
    <s v="B0004"/>
    <x v="125"/>
    <x v="1"/>
    <x v="45"/>
  </r>
  <r>
    <x v="200"/>
    <s v="C531"/>
    <s v="B0004"/>
    <x v="61"/>
    <x v="0"/>
    <x v="48"/>
  </r>
  <r>
    <x v="201"/>
    <s v="C461"/>
    <s v="B0010"/>
    <x v="126"/>
    <x v="1"/>
    <x v="12"/>
  </r>
  <r>
    <x v="202"/>
    <s v="C564"/>
    <s v="B0001"/>
    <x v="127"/>
    <x v="0"/>
    <x v="36"/>
  </r>
  <r>
    <x v="203"/>
    <s v="C156"/>
    <s v="B0010"/>
    <x v="26"/>
    <x v="1"/>
    <x v="30"/>
  </r>
  <r>
    <x v="204"/>
    <s v="C531"/>
    <s v="B0007"/>
    <x v="79"/>
    <x v="0"/>
    <x v="6"/>
  </r>
  <r>
    <x v="205"/>
    <s v="C270"/>
    <s v="B0009"/>
    <x v="128"/>
    <x v="1"/>
    <x v="41"/>
  </r>
  <r>
    <x v="206"/>
    <s v="C160"/>
    <s v="B0009"/>
    <x v="122"/>
    <x v="0"/>
    <x v="45"/>
  </r>
  <r>
    <x v="207"/>
    <s v="C324"/>
    <s v="B0008"/>
    <x v="129"/>
    <x v="0"/>
    <x v="1"/>
  </r>
  <r>
    <x v="208"/>
    <s v="C298"/>
    <s v="B0004"/>
    <x v="130"/>
    <x v="1"/>
    <x v="45"/>
  </r>
  <r>
    <x v="209"/>
    <s v="C295"/>
    <s v="B0001"/>
    <x v="44"/>
    <x v="0"/>
    <x v="28"/>
  </r>
  <r>
    <x v="210"/>
    <s v="C329"/>
    <s v="B0001"/>
    <x v="131"/>
    <x v="0"/>
    <x v="14"/>
  </r>
  <r>
    <x v="211"/>
    <s v="C211"/>
    <s v="B0001"/>
    <x v="63"/>
    <x v="1"/>
    <x v="37"/>
  </r>
  <r>
    <x v="212"/>
    <s v="C358"/>
    <s v="B0007"/>
    <x v="71"/>
    <x v="1"/>
    <x v="29"/>
  </r>
  <r>
    <x v="213"/>
    <s v="C349"/>
    <s v="B0004"/>
    <x v="132"/>
    <x v="0"/>
    <x v="45"/>
  </r>
  <r>
    <x v="214"/>
    <s v="C147"/>
    <s v="B0008"/>
    <x v="46"/>
    <x v="0"/>
    <x v="12"/>
  </r>
  <r>
    <x v="215"/>
    <s v="C184"/>
    <s v="B0010"/>
    <x v="120"/>
    <x v="0"/>
    <x v="31"/>
  </r>
  <r>
    <x v="216"/>
    <s v="C117"/>
    <s v="B0002"/>
    <x v="121"/>
    <x v="1"/>
    <x v="39"/>
  </r>
  <r>
    <x v="217"/>
    <s v="C186"/>
    <s v="B0002"/>
    <x v="93"/>
    <x v="0"/>
    <x v="12"/>
  </r>
  <r>
    <x v="218"/>
    <s v="C591"/>
    <s v="B0006"/>
    <x v="52"/>
    <x v="0"/>
    <x v="37"/>
  </r>
  <r>
    <x v="219"/>
    <s v="C177"/>
    <s v="B0003"/>
    <x v="85"/>
    <x v="1"/>
    <x v="41"/>
  </r>
  <r>
    <x v="220"/>
    <s v="C349"/>
    <s v="B0008"/>
    <x v="46"/>
    <x v="1"/>
    <x v="20"/>
  </r>
  <r>
    <x v="221"/>
    <s v="C292"/>
    <s v="B0005"/>
    <x v="97"/>
    <x v="0"/>
    <x v="22"/>
  </r>
  <r>
    <x v="222"/>
    <s v="C324"/>
    <s v="B0002"/>
    <x v="53"/>
    <x v="1"/>
    <x v="29"/>
  </r>
  <r>
    <x v="223"/>
    <s v="C190"/>
    <s v="B0006"/>
    <x v="60"/>
    <x v="1"/>
    <x v="31"/>
  </r>
  <r>
    <x v="224"/>
    <s v="C524"/>
    <s v="B0008"/>
    <x v="133"/>
    <x v="0"/>
    <x v="47"/>
  </r>
  <r>
    <x v="225"/>
    <s v="C411"/>
    <s v="B0002"/>
    <x v="134"/>
    <x v="1"/>
    <x v="5"/>
  </r>
  <r>
    <x v="226"/>
    <s v="C476"/>
    <s v="B0010"/>
    <x v="75"/>
    <x v="0"/>
    <x v="28"/>
  </r>
  <r>
    <x v="227"/>
    <s v="C328"/>
    <s v="B0001"/>
    <x v="135"/>
    <x v="0"/>
    <x v="13"/>
  </r>
  <r>
    <x v="228"/>
    <s v="C592"/>
    <s v="B0005"/>
    <x v="116"/>
    <x v="0"/>
    <x v="22"/>
  </r>
  <r>
    <x v="229"/>
    <s v="C136"/>
    <s v="B0009"/>
    <x v="86"/>
    <x v="0"/>
    <x v="0"/>
  </r>
  <r>
    <x v="230"/>
    <s v="C230"/>
    <s v="B0008"/>
    <x v="136"/>
    <x v="1"/>
    <x v="23"/>
  </r>
  <r>
    <x v="231"/>
    <s v="C372"/>
    <s v="B0008"/>
    <x v="67"/>
    <x v="1"/>
    <x v="27"/>
  </r>
  <r>
    <x v="232"/>
    <s v="C556"/>
    <s v="B0009"/>
    <x v="137"/>
    <x v="0"/>
    <x v="49"/>
  </r>
  <r>
    <x v="233"/>
    <s v="C484"/>
    <s v="B0006"/>
    <x v="45"/>
    <x v="0"/>
    <x v="0"/>
  </r>
  <r>
    <x v="234"/>
    <s v="C332"/>
    <s v="B0004"/>
    <x v="78"/>
    <x v="1"/>
    <x v="43"/>
  </r>
  <r>
    <x v="235"/>
    <s v="C393"/>
    <s v="B0007"/>
    <x v="35"/>
    <x v="1"/>
    <x v="30"/>
  </r>
  <r>
    <x v="236"/>
    <s v="C210"/>
    <s v="B0009"/>
    <x v="56"/>
    <x v="1"/>
    <x v="27"/>
  </r>
  <r>
    <x v="237"/>
    <s v="C395"/>
    <s v="B0010"/>
    <x v="16"/>
    <x v="1"/>
    <x v="48"/>
  </r>
  <r>
    <x v="238"/>
    <s v="C577"/>
    <s v="B0004"/>
    <x v="12"/>
    <x v="0"/>
    <x v="22"/>
  </r>
  <r>
    <x v="239"/>
    <s v="C527"/>
    <s v="B0002"/>
    <x v="68"/>
    <x v="0"/>
    <x v="15"/>
  </r>
  <r>
    <x v="240"/>
    <s v="C556"/>
    <s v="B0009"/>
    <x v="81"/>
    <x v="0"/>
    <x v="14"/>
  </r>
  <r>
    <x v="241"/>
    <s v="C355"/>
    <s v="B0009"/>
    <x v="45"/>
    <x v="0"/>
    <x v="33"/>
  </r>
  <r>
    <x v="242"/>
    <s v="C160"/>
    <s v="B0005"/>
    <x v="0"/>
    <x v="0"/>
    <x v="0"/>
  </r>
  <r>
    <x v="243"/>
    <s v="C545"/>
    <s v="B0005"/>
    <x v="29"/>
    <x v="1"/>
    <x v="27"/>
  </r>
  <r>
    <x v="244"/>
    <s v="C466"/>
    <s v="B0004"/>
    <x v="8"/>
    <x v="1"/>
    <x v="16"/>
  </r>
  <r>
    <x v="245"/>
    <s v="C495"/>
    <s v="B0006"/>
    <x v="138"/>
    <x v="1"/>
    <x v="19"/>
  </r>
  <r>
    <x v="246"/>
    <s v="C346"/>
    <s v="B0003"/>
    <x v="26"/>
    <x v="0"/>
    <x v="40"/>
  </r>
  <r>
    <x v="247"/>
    <s v="C459"/>
    <s v="B0002"/>
    <x v="76"/>
    <x v="1"/>
    <x v="18"/>
  </r>
  <r>
    <x v="248"/>
    <s v="C506"/>
    <s v="B0003"/>
    <x v="139"/>
    <x v="1"/>
    <x v="17"/>
  </r>
  <r>
    <x v="249"/>
    <s v="C489"/>
    <s v="B0008"/>
    <x v="91"/>
    <x v="0"/>
    <x v="38"/>
  </r>
  <r>
    <x v="250"/>
    <s v="C418"/>
    <s v="B0004"/>
    <x v="140"/>
    <x v="1"/>
    <x v="4"/>
  </r>
  <r>
    <x v="251"/>
    <s v="C326"/>
    <s v="B0009"/>
    <x v="49"/>
    <x v="0"/>
    <x v="29"/>
  </r>
  <r>
    <x v="252"/>
    <s v="C116"/>
    <s v="B0002"/>
    <x v="49"/>
    <x v="1"/>
    <x v="16"/>
  </r>
  <r>
    <x v="253"/>
    <s v="C212"/>
    <s v="B0006"/>
    <x v="39"/>
    <x v="0"/>
    <x v="13"/>
  </r>
  <r>
    <x v="254"/>
    <s v="C437"/>
    <s v="B0009"/>
    <x v="15"/>
    <x v="1"/>
    <x v="8"/>
  </r>
  <r>
    <x v="255"/>
    <s v="C112"/>
    <s v="B0009"/>
    <x v="92"/>
    <x v="1"/>
    <x v="6"/>
  </r>
  <r>
    <x v="256"/>
    <s v="C595"/>
    <s v="B0003"/>
    <x v="141"/>
    <x v="1"/>
    <x v="17"/>
  </r>
  <r>
    <x v="257"/>
    <s v="C458"/>
    <s v="B0008"/>
    <x v="142"/>
    <x v="1"/>
    <x v="13"/>
  </r>
  <r>
    <x v="258"/>
    <s v="C342"/>
    <s v="B0003"/>
    <x v="36"/>
    <x v="0"/>
    <x v="16"/>
  </r>
  <r>
    <x v="259"/>
    <s v="C102"/>
    <s v="B0004"/>
    <x v="1"/>
    <x v="0"/>
    <x v="17"/>
  </r>
  <r>
    <x v="260"/>
    <s v="C419"/>
    <s v="B0001"/>
    <x v="119"/>
    <x v="0"/>
    <x v="37"/>
  </r>
  <r>
    <x v="261"/>
    <s v="C275"/>
    <s v="B0004"/>
    <x v="124"/>
    <x v="1"/>
    <x v="12"/>
  </r>
  <r>
    <x v="262"/>
    <s v="C161"/>
    <s v="B0006"/>
    <x v="143"/>
    <x v="1"/>
    <x v="18"/>
  </r>
  <r>
    <x v="263"/>
    <s v="C490"/>
    <s v="B0010"/>
    <x v="144"/>
    <x v="0"/>
    <x v="3"/>
  </r>
  <r>
    <x v="264"/>
    <s v="C576"/>
    <s v="B0001"/>
    <x v="131"/>
    <x v="0"/>
    <x v="27"/>
  </r>
  <r>
    <x v="265"/>
    <s v="C145"/>
    <s v="B0003"/>
    <x v="88"/>
    <x v="0"/>
    <x v="5"/>
  </r>
  <r>
    <x v="266"/>
    <s v="C306"/>
    <s v="B0008"/>
    <x v="142"/>
    <x v="0"/>
    <x v="47"/>
  </r>
  <r>
    <x v="267"/>
    <s v="C325"/>
    <s v="B0008"/>
    <x v="30"/>
    <x v="0"/>
    <x v="10"/>
  </r>
  <r>
    <x v="268"/>
    <s v="C335"/>
    <s v="B0008"/>
    <x v="44"/>
    <x v="1"/>
    <x v="40"/>
  </r>
  <r>
    <x v="269"/>
    <s v="C208"/>
    <s v="B0010"/>
    <x v="58"/>
    <x v="1"/>
    <x v="46"/>
  </r>
  <r>
    <x v="270"/>
    <s v="C282"/>
    <s v="B0003"/>
    <x v="1"/>
    <x v="1"/>
    <x v="14"/>
  </r>
  <r>
    <x v="271"/>
    <s v="C269"/>
    <s v="B0008"/>
    <x v="81"/>
    <x v="0"/>
    <x v="19"/>
  </r>
  <r>
    <x v="272"/>
    <s v="C597"/>
    <s v="B0008"/>
    <x v="98"/>
    <x v="1"/>
    <x v="24"/>
  </r>
  <r>
    <x v="273"/>
    <s v="C551"/>
    <s v="B0001"/>
    <x v="48"/>
    <x v="0"/>
    <x v="10"/>
  </r>
  <r>
    <x v="274"/>
    <s v="C565"/>
    <s v="B0007"/>
    <x v="66"/>
    <x v="1"/>
    <x v="17"/>
  </r>
  <r>
    <x v="275"/>
    <s v="C599"/>
    <s v="B0001"/>
    <x v="82"/>
    <x v="1"/>
    <x v="18"/>
  </r>
  <r>
    <x v="276"/>
    <s v="C353"/>
    <s v="B0008"/>
    <x v="145"/>
    <x v="1"/>
    <x v="32"/>
  </r>
  <r>
    <x v="277"/>
    <s v="C271"/>
    <s v="B0004"/>
    <x v="146"/>
    <x v="1"/>
    <x v="38"/>
  </r>
  <r>
    <x v="278"/>
    <s v="C187"/>
    <s v="B0010"/>
    <x v="139"/>
    <x v="1"/>
    <x v="21"/>
  </r>
  <r>
    <x v="279"/>
    <s v="C461"/>
    <s v="B0004"/>
    <x v="10"/>
    <x v="1"/>
    <x v="9"/>
  </r>
  <r>
    <x v="280"/>
    <s v="C318"/>
    <s v="B0006"/>
    <x v="121"/>
    <x v="0"/>
    <x v="46"/>
  </r>
  <r>
    <x v="281"/>
    <s v="C445"/>
    <s v="B0007"/>
    <x v="86"/>
    <x v="0"/>
    <x v="14"/>
  </r>
  <r>
    <x v="282"/>
    <s v="C554"/>
    <s v="B0004"/>
    <x v="21"/>
    <x v="1"/>
    <x v="6"/>
  </r>
  <r>
    <x v="283"/>
    <s v="C355"/>
    <s v="B0009"/>
    <x v="138"/>
    <x v="1"/>
    <x v="25"/>
  </r>
  <r>
    <x v="284"/>
    <s v="C251"/>
    <s v="B0003"/>
    <x v="147"/>
    <x v="0"/>
    <x v="34"/>
  </r>
  <r>
    <x v="285"/>
    <s v="C228"/>
    <s v="B0007"/>
    <x v="148"/>
    <x v="0"/>
    <x v="4"/>
  </r>
  <r>
    <x v="286"/>
    <s v="C261"/>
    <s v="B0003"/>
    <x v="7"/>
    <x v="1"/>
    <x v="10"/>
  </r>
  <r>
    <x v="287"/>
    <s v="C504"/>
    <s v="B0004"/>
    <x v="125"/>
    <x v="0"/>
    <x v="13"/>
  </r>
  <r>
    <x v="288"/>
    <s v="C123"/>
    <s v="B0001"/>
    <x v="98"/>
    <x v="1"/>
    <x v="25"/>
  </r>
  <r>
    <x v="289"/>
    <s v="C164"/>
    <s v="B0004"/>
    <x v="141"/>
    <x v="1"/>
    <x v="28"/>
  </r>
  <r>
    <x v="290"/>
    <s v="C506"/>
    <s v="B0002"/>
    <x v="118"/>
    <x v="0"/>
    <x v="11"/>
  </r>
  <r>
    <x v="291"/>
    <s v="C434"/>
    <s v="B0008"/>
    <x v="129"/>
    <x v="1"/>
    <x v="29"/>
  </r>
  <r>
    <x v="292"/>
    <s v="C568"/>
    <s v="B0006"/>
    <x v="0"/>
    <x v="1"/>
    <x v="13"/>
  </r>
  <r>
    <x v="293"/>
    <s v="C258"/>
    <s v="B0001"/>
    <x v="149"/>
    <x v="1"/>
    <x v="24"/>
  </r>
  <r>
    <x v="294"/>
    <s v="C516"/>
    <s v="B0007"/>
    <x v="60"/>
    <x v="0"/>
    <x v="21"/>
  </r>
  <r>
    <x v="295"/>
    <s v="C565"/>
    <s v="B0006"/>
    <x v="150"/>
    <x v="0"/>
    <x v="31"/>
  </r>
  <r>
    <x v="296"/>
    <s v="C237"/>
    <s v="B0003"/>
    <x v="151"/>
    <x v="1"/>
    <x v="29"/>
  </r>
  <r>
    <x v="297"/>
    <s v="C316"/>
    <s v="B0003"/>
    <x v="4"/>
    <x v="0"/>
    <x v="29"/>
  </r>
  <r>
    <x v="298"/>
    <s v="C409"/>
    <s v="B0001"/>
    <x v="116"/>
    <x v="0"/>
    <x v="15"/>
  </r>
  <r>
    <x v="299"/>
    <s v="C311"/>
    <s v="B0006"/>
    <x v="41"/>
    <x v="0"/>
    <x v="22"/>
  </r>
  <r>
    <x v="300"/>
    <s v="C168"/>
    <s v="B0009"/>
    <x v="24"/>
    <x v="0"/>
    <x v="46"/>
  </r>
  <r>
    <x v="301"/>
    <s v="C369"/>
    <s v="B0001"/>
    <x v="137"/>
    <x v="0"/>
    <x v="14"/>
  </r>
  <r>
    <x v="302"/>
    <s v="C354"/>
    <s v="B0003"/>
    <x v="152"/>
    <x v="0"/>
    <x v="41"/>
  </r>
  <r>
    <x v="303"/>
    <s v="C358"/>
    <s v="B0001"/>
    <x v="138"/>
    <x v="0"/>
    <x v="0"/>
  </r>
  <r>
    <x v="304"/>
    <s v="C441"/>
    <s v="B0001"/>
    <x v="143"/>
    <x v="1"/>
    <x v="7"/>
  </r>
  <r>
    <x v="305"/>
    <s v="C343"/>
    <s v="B0004"/>
    <x v="117"/>
    <x v="0"/>
    <x v="7"/>
  </r>
  <r>
    <x v="306"/>
    <s v="C499"/>
    <s v="B0006"/>
    <x v="76"/>
    <x v="1"/>
    <x v="24"/>
  </r>
  <r>
    <x v="307"/>
    <s v="C426"/>
    <s v="B0002"/>
    <x v="39"/>
    <x v="1"/>
    <x v="26"/>
  </r>
  <r>
    <x v="308"/>
    <s v="C118"/>
    <s v="B0002"/>
    <x v="47"/>
    <x v="1"/>
    <x v="48"/>
  </r>
  <r>
    <x v="309"/>
    <s v="C408"/>
    <s v="B0003"/>
    <x v="101"/>
    <x v="0"/>
    <x v="30"/>
  </r>
  <r>
    <x v="310"/>
    <s v="C159"/>
    <s v="B0003"/>
    <x v="145"/>
    <x v="1"/>
    <x v="20"/>
  </r>
  <r>
    <x v="311"/>
    <s v="C244"/>
    <s v="B0010"/>
    <x v="59"/>
    <x v="1"/>
    <x v="9"/>
  </r>
  <r>
    <x v="312"/>
    <s v="C577"/>
    <s v="B0010"/>
    <x v="34"/>
    <x v="1"/>
    <x v="12"/>
  </r>
  <r>
    <x v="313"/>
    <s v="C508"/>
    <s v="B0008"/>
    <x v="23"/>
    <x v="0"/>
    <x v="37"/>
  </r>
  <r>
    <x v="314"/>
    <s v="C130"/>
    <s v="B0010"/>
    <x v="47"/>
    <x v="0"/>
    <x v="18"/>
  </r>
  <r>
    <x v="315"/>
    <s v="C303"/>
    <s v="B0006"/>
    <x v="47"/>
    <x v="1"/>
    <x v="5"/>
  </r>
  <r>
    <x v="316"/>
    <s v="C280"/>
    <s v="B0001"/>
    <x v="60"/>
    <x v="0"/>
    <x v="32"/>
  </r>
  <r>
    <x v="317"/>
    <s v="C593"/>
    <s v="B0001"/>
    <x v="108"/>
    <x v="1"/>
    <x v="37"/>
  </r>
  <r>
    <x v="318"/>
    <s v="C421"/>
    <s v="B0002"/>
    <x v="153"/>
    <x v="0"/>
    <x v="19"/>
  </r>
  <r>
    <x v="319"/>
    <s v="C105"/>
    <s v="B0001"/>
    <x v="138"/>
    <x v="1"/>
    <x v="30"/>
  </r>
  <r>
    <x v="320"/>
    <s v="C459"/>
    <s v="B0007"/>
    <x v="37"/>
    <x v="0"/>
    <x v="38"/>
  </r>
  <r>
    <x v="321"/>
    <s v="C406"/>
    <s v="B0004"/>
    <x v="60"/>
    <x v="1"/>
    <x v="12"/>
  </r>
  <r>
    <x v="322"/>
    <s v="C380"/>
    <s v="B0002"/>
    <x v="122"/>
    <x v="0"/>
    <x v="49"/>
  </r>
  <r>
    <x v="323"/>
    <s v="C147"/>
    <s v="B0001"/>
    <x v="60"/>
    <x v="1"/>
    <x v="30"/>
  </r>
  <r>
    <x v="324"/>
    <s v="C197"/>
    <s v="B0001"/>
    <x v="32"/>
    <x v="0"/>
    <x v="22"/>
  </r>
  <r>
    <x v="325"/>
    <s v="C419"/>
    <s v="B0004"/>
    <x v="122"/>
    <x v="0"/>
    <x v="14"/>
  </r>
  <r>
    <x v="326"/>
    <s v="C406"/>
    <s v="B0004"/>
    <x v="30"/>
    <x v="0"/>
    <x v="28"/>
  </r>
  <r>
    <x v="327"/>
    <s v="C429"/>
    <s v="B0007"/>
    <x v="153"/>
    <x v="0"/>
    <x v="41"/>
  </r>
  <r>
    <x v="328"/>
    <s v="C376"/>
    <s v="B0004"/>
    <x v="122"/>
    <x v="0"/>
    <x v="17"/>
  </r>
  <r>
    <x v="329"/>
    <s v="C324"/>
    <s v="B0010"/>
    <x v="110"/>
    <x v="1"/>
    <x v="39"/>
  </r>
  <r>
    <x v="330"/>
    <s v="C341"/>
    <s v="B0009"/>
    <x v="27"/>
    <x v="1"/>
    <x v="21"/>
  </r>
  <r>
    <x v="331"/>
    <s v="C128"/>
    <s v="B0009"/>
    <x v="15"/>
    <x v="1"/>
    <x v="48"/>
  </r>
  <r>
    <x v="332"/>
    <s v="C143"/>
    <s v="B0008"/>
    <x v="10"/>
    <x v="0"/>
    <x v="27"/>
  </r>
  <r>
    <x v="333"/>
    <s v="C307"/>
    <s v="B0002"/>
    <x v="88"/>
    <x v="1"/>
    <x v="39"/>
  </r>
  <r>
    <x v="334"/>
    <s v="C378"/>
    <s v="B0002"/>
    <x v="154"/>
    <x v="0"/>
    <x v="37"/>
  </r>
  <r>
    <x v="335"/>
    <s v="C394"/>
    <s v="B0006"/>
    <x v="26"/>
    <x v="1"/>
    <x v="1"/>
  </r>
  <r>
    <x v="336"/>
    <s v="C435"/>
    <s v="B0005"/>
    <x v="46"/>
    <x v="1"/>
    <x v="5"/>
  </r>
  <r>
    <x v="337"/>
    <s v="C479"/>
    <s v="B0002"/>
    <x v="6"/>
    <x v="1"/>
    <x v="43"/>
  </r>
  <r>
    <x v="338"/>
    <s v="C296"/>
    <s v="B0004"/>
    <x v="24"/>
    <x v="1"/>
    <x v="47"/>
  </r>
  <r>
    <x v="339"/>
    <s v="C324"/>
    <s v="B0003"/>
    <x v="25"/>
    <x v="1"/>
    <x v="28"/>
  </r>
  <r>
    <x v="340"/>
    <s v="C258"/>
    <s v="B0008"/>
    <x v="155"/>
    <x v="1"/>
    <x v="35"/>
  </r>
  <r>
    <x v="341"/>
    <s v="C538"/>
    <s v="B0008"/>
    <x v="37"/>
    <x v="1"/>
    <x v="18"/>
  </r>
  <r>
    <x v="342"/>
    <s v="C557"/>
    <s v="B0002"/>
    <x v="26"/>
    <x v="0"/>
    <x v="49"/>
  </r>
  <r>
    <x v="343"/>
    <s v="C296"/>
    <s v="B0002"/>
    <x v="121"/>
    <x v="1"/>
    <x v="6"/>
  </r>
  <r>
    <x v="344"/>
    <s v="C340"/>
    <s v="B0006"/>
    <x v="69"/>
    <x v="1"/>
    <x v="35"/>
  </r>
  <r>
    <x v="345"/>
    <s v="C544"/>
    <s v="B0010"/>
    <x v="156"/>
    <x v="1"/>
    <x v="31"/>
  </r>
  <r>
    <x v="346"/>
    <s v="C180"/>
    <s v="B0002"/>
    <x v="48"/>
    <x v="0"/>
    <x v="28"/>
  </r>
  <r>
    <x v="347"/>
    <s v="C127"/>
    <s v="B0003"/>
    <x v="154"/>
    <x v="1"/>
    <x v="23"/>
  </r>
  <r>
    <x v="348"/>
    <s v="C545"/>
    <s v="B0006"/>
    <x v="157"/>
    <x v="1"/>
    <x v="3"/>
  </r>
  <r>
    <x v="349"/>
    <s v="C281"/>
    <s v="B0002"/>
    <x v="148"/>
    <x v="1"/>
    <x v="39"/>
  </r>
  <r>
    <x v="350"/>
    <s v="C130"/>
    <s v="B0009"/>
    <x v="105"/>
    <x v="0"/>
    <x v="19"/>
  </r>
  <r>
    <x v="351"/>
    <s v="C341"/>
    <s v="B0003"/>
    <x v="146"/>
    <x v="0"/>
    <x v="35"/>
  </r>
  <r>
    <x v="352"/>
    <s v="C592"/>
    <s v="B0006"/>
    <x v="84"/>
    <x v="0"/>
    <x v="24"/>
  </r>
  <r>
    <x v="353"/>
    <s v="C469"/>
    <s v="B0001"/>
    <x v="138"/>
    <x v="0"/>
    <x v="27"/>
  </r>
  <r>
    <x v="354"/>
    <s v="C259"/>
    <s v="B0001"/>
    <x v="129"/>
    <x v="1"/>
    <x v="36"/>
  </r>
  <r>
    <x v="355"/>
    <s v="C314"/>
    <s v="B0007"/>
    <x v="103"/>
    <x v="1"/>
    <x v="32"/>
  </r>
  <r>
    <x v="356"/>
    <s v="C119"/>
    <s v="B0006"/>
    <x v="158"/>
    <x v="0"/>
    <x v="10"/>
  </r>
  <r>
    <x v="357"/>
    <s v="C257"/>
    <s v="B0001"/>
    <x v="159"/>
    <x v="1"/>
    <x v="27"/>
  </r>
  <r>
    <x v="358"/>
    <s v="C478"/>
    <s v="B0005"/>
    <x v="39"/>
    <x v="0"/>
    <x v="32"/>
  </r>
  <r>
    <x v="359"/>
    <s v="C275"/>
    <s v="B0006"/>
    <x v="70"/>
    <x v="1"/>
    <x v="23"/>
  </r>
  <r>
    <x v="360"/>
    <s v="C496"/>
    <s v="B0003"/>
    <x v="143"/>
    <x v="1"/>
    <x v="21"/>
  </r>
  <r>
    <x v="361"/>
    <s v="C517"/>
    <s v="B0001"/>
    <x v="160"/>
    <x v="0"/>
    <x v="47"/>
  </r>
  <r>
    <x v="362"/>
    <s v="C208"/>
    <s v="B0003"/>
    <x v="54"/>
    <x v="1"/>
    <x v="3"/>
  </r>
  <r>
    <x v="363"/>
    <s v="C494"/>
    <s v="B0006"/>
    <x v="81"/>
    <x v="0"/>
    <x v="7"/>
  </r>
  <r>
    <x v="364"/>
    <s v="C574"/>
    <s v="B0009"/>
    <x v="144"/>
    <x v="1"/>
    <x v="6"/>
  </r>
  <r>
    <x v="365"/>
    <s v="C266"/>
    <s v="B0001"/>
    <x v="14"/>
    <x v="1"/>
    <x v="23"/>
  </r>
  <r>
    <x v="366"/>
    <s v="C148"/>
    <s v="B0002"/>
    <x v="51"/>
    <x v="1"/>
    <x v="18"/>
  </r>
  <r>
    <x v="367"/>
    <s v="C306"/>
    <s v="B0006"/>
    <x v="115"/>
    <x v="1"/>
    <x v="48"/>
  </r>
  <r>
    <x v="368"/>
    <s v="C435"/>
    <s v="B0001"/>
    <x v="161"/>
    <x v="0"/>
    <x v="1"/>
  </r>
  <r>
    <x v="369"/>
    <s v="C140"/>
    <s v="B0008"/>
    <x v="139"/>
    <x v="1"/>
    <x v="28"/>
  </r>
  <r>
    <x v="370"/>
    <s v="C399"/>
    <s v="B0003"/>
    <x v="34"/>
    <x v="0"/>
    <x v="10"/>
  </r>
  <r>
    <x v="371"/>
    <s v="C440"/>
    <s v="B0002"/>
    <x v="2"/>
    <x v="1"/>
    <x v="45"/>
  </r>
  <r>
    <x v="372"/>
    <s v="C302"/>
    <s v="B0008"/>
    <x v="125"/>
    <x v="1"/>
    <x v="16"/>
  </r>
  <r>
    <x v="373"/>
    <s v="C371"/>
    <s v="B0005"/>
    <x v="162"/>
    <x v="1"/>
    <x v="45"/>
  </r>
  <r>
    <x v="374"/>
    <s v="C535"/>
    <s v="B0004"/>
    <x v="94"/>
    <x v="0"/>
    <x v="43"/>
  </r>
  <r>
    <x v="375"/>
    <s v="C177"/>
    <s v="B0008"/>
    <x v="154"/>
    <x v="0"/>
    <x v="40"/>
  </r>
  <r>
    <x v="376"/>
    <s v="C560"/>
    <s v="B0003"/>
    <x v="96"/>
    <x v="0"/>
    <x v="7"/>
  </r>
  <r>
    <x v="377"/>
    <s v="C272"/>
    <s v="B0001"/>
    <x v="16"/>
    <x v="1"/>
    <x v="37"/>
  </r>
  <r>
    <x v="378"/>
    <s v="C402"/>
    <s v="B0002"/>
    <x v="30"/>
    <x v="1"/>
    <x v="9"/>
  </r>
  <r>
    <x v="379"/>
    <s v="C512"/>
    <s v="B0007"/>
    <x v="163"/>
    <x v="0"/>
    <x v="25"/>
  </r>
  <r>
    <x v="380"/>
    <s v="C539"/>
    <s v="B0008"/>
    <x v="108"/>
    <x v="1"/>
    <x v="22"/>
  </r>
  <r>
    <x v="381"/>
    <s v="C334"/>
    <s v="B0004"/>
    <x v="93"/>
    <x v="1"/>
    <x v="15"/>
  </r>
  <r>
    <x v="382"/>
    <s v="C291"/>
    <s v="B0006"/>
    <x v="104"/>
    <x v="0"/>
    <x v="17"/>
  </r>
  <r>
    <x v="383"/>
    <s v="C345"/>
    <s v="B0007"/>
    <x v="129"/>
    <x v="1"/>
    <x v="14"/>
  </r>
  <r>
    <x v="384"/>
    <s v="C543"/>
    <s v="B0001"/>
    <x v="13"/>
    <x v="1"/>
    <x v="37"/>
  </r>
  <r>
    <x v="385"/>
    <s v="C450"/>
    <s v="B0007"/>
    <x v="44"/>
    <x v="0"/>
    <x v="1"/>
  </r>
  <r>
    <x v="386"/>
    <s v="C305"/>
    <s v="B0009"/>
    <x v="164"/>
    <x v="1"/>
    <x v="21"/>
  </r>
  <r>
    <x v="387"/>
    <s v="C284"/>
    <s v="B0009"/>
    <x v="162"/>
    <x v="1"/>
    <x v="36"/>
  </r>
  <r>
    <x v="388"/>
    <s v="C285"/>
    <s v="B0002"/>
    <x v="117"/>
    <x v="0"/>
    <x v="5"/>
  </r>
  <r>
    <x v="389"/>
    <s v="C569"/>
    <s v="B0003"/>
    <x v="136"/>
    <x v="0"/>
    <x v="16"/>
  </r>
  <r>
    <x v="390"/>
    <s v="C192"/>
    <s v="B0005"/>
    <x v="25"/>
    <x v="1"/>
    <x v="5"/>
  </r>
  <r>
    <x v="391"/>
    <s v="C483"/>
    <s v="B0008"/>
    <x v="165"/>
    <x v="1"/>
    <x v="13"/>
  </r>
  <r>
    <x v="392"/>
    <s v="C267"/>
    <s v="B0008"/>
    <x v="50"/>
    <x v="0"/>
    <x v="38"/>
  </r>
  <r>
    <x v="393"/>
    <s v="C471"/>
    <s v="B0005"/>
    <x v="87"/>
    <x v="1"/>
    <x v="26"/>
  </r>
  <r>
    <x v="394"/>
    <s v="C497"/>
    <s v="B0008"/>
    <x v="34"/>
    <x v="0"/>
    <x v="6"/>
  </r>
  <r>
    <x v="395"/>
    <s v="C383"/>
    <s v="B0004"/>
    <x v="76"/>
    <x v="0"/>
    <x v="24"/>
  </r>
  <r>
    <x v="396"/>
    <s v="C155"/>
    <s v="B0006"/>
    <x v="43"/>
    <x v="0"/>
    <x v="8"/>
  </r>
  <r>
    <x v="397"/>
    <s v="C293"/>
    <s v="B0003"/>
    <x v="36"/>
    <x v="0"/>
    <x v="19"/>
  </r>
  <r>
    <x v="398"/>
    <s v="C279"/>
    <s v="B0003"/>
    <x v="14"/>
    <x v="1"/>
    <x v="20"/>
  </r>
  <r>
    <x v="399"/>
    <s v="C119"/>
    <s v="B0010"/>
    <x v="104"/>
    <x v="0"/>
    <x v="49"/>
  </r>
  <r>
    <x v="400"/>
    <s v="C206"/>
    <s v="B0001"/>
    <x v="64"/>
    <x v="1"/>
    <x v="1"/>
  </r>
  <r>
    <x v="401"/>
    <s v="C597"/>
    <s v="B0001"/>
    <x v="54"/>
    <x v="1"/>
    <x v="38"/>
  </r>
  <r>
    <x v="402"/>
    <s v="C269"/>
    <s v="B0008"/>
    <x v="87"/>
    <x v="0"/>
    <x v="9"/>
  </r>
  <r>
    <x v="403"/>
    <s v="C498"/>
    <s v="B0002"/>
    <x v="131"/>
    <x v="0"/>
    <x v="30"/>
  </r>
  <r>
    <x v="404"/>
    <s v="C445"/>
    <s v="B0005"/>
    <x v="81"/>
    <x v="0"/>
    <x v="3"/>
  </r>
  <r>
    <x v="405"/>
    <s v="C161"/>
    <s v="B0009"/>
    <x v="111"/>
    <x v="1"/>
    <x v="34"/>
  </r>
  <r>
    <x v="406"/>
    <s v="C310"/>
    <s v="B0003"/>
    <x v="166"/>
    <x v="1"/>
    <x v="6"/>
  </r>
  <r>
    <x v="407"/>
    <s v="C160"/>
    <s v="B0009"/>
    <x v="49"/>
    <x v="0"/>
    <x v="17"/>
  </r>
  <r>
    <x v="408"/>
    <s v="C460"/>
    <s v="B0002"/>
    <x v="117"/>
    <x v="0"/>
    <x v="42"/>
  </r>
  <r>
    <x v="409"/>
    <s v="C519"/>
    <s v="B0010"/>
    <x v="131"/>
    <x v="1"/>
    <x v="12"/>
  </r>
  <r>
    <x v="410"/>
    <s v="C373"/>
    <s v="B0002"/>
    <x v="110"/>
    <x v="0"/>
    <x v="8"/>
  </r>
  <r>
    <x v="411"/>
    <s v="C196"/>
    <s v="B0003"/>
    <x v="134"/>
    <x v="1"/>
    <x v="8"/>
  </r>
  <r>
    <x v="412"/>
    <s v="C587"/>
    <s v="B0007"/>
    <x v="66"/>
    <x v="1"/>
    <x v="14"/>
  </r>
  <r>
    <x v="413"/>
    <s v="C590"/>
    <s v="B0008"/>
    <x v="41"/>
    <x v="1"/>
    <x v="20"/>
  </r>
  <r>
    <x v="414"/>
    <s v="C252"/>
    <s v="B0004"/>
    <x v="84"/>
    <x v="1"/>
    <x v="8"/>
  </r>
  <r>
    <x v="415"/>
    <s v="C243"/>
    <s v="B0006"/>
    <x v="42"/>
    <x v="1"/>
    <x v="32"/>
  </r>
  <r>
    <x v="416"/>
    <s v="C277"/>
    <s v="B0009"/>
    <x v="159"/>
    <x v="1"/>
    <x v="42"/>
  </r>
  <r>
    <x v="417"/>
    <s v="C195"/>
    <s v="B0007"/>
    <x v="99"/>
    <x v="1"/>
    <x v="18"/>
  </r>
  <r>
    <x v="418"/>
    <s v="C106"/>
    <s v="B0009"/>
    <x v="52"/>
    <x v="0"/>
    <x v="35"/>
  </r>
  <r>
    <x v="419"/>
    <s v="C543"/>
    <s v="B0005"/>
    <x v="11"/>
    <x v="0"/>
    <x v="41"/>
  </r>
  <r>
    <x v="420"/>
    <s v="C126"/>
    <s v="B0001"/>
    <x v="140"/>
    <x v="0"/>
    <x v="49"/>
  </r>
  <r>
    <x v="421"/>
    <s v="C453"/>
    <s v="B0006"/>
    <x v="131"/>
    <x v="0"/>
    <x v="48"/>
  </r>
  <r>
    <x v="422"/>
    <s v="C512"/>
    <s v="B0002"/>
    <x v="72"/>
    <x v="1"/>
    <x v="30"/>
  </r>
  <r>
    <x v="423"/>
    <s v="C475"/>
    <s v="B0008"/>
    <x v="167"/>
    <x v="1"/>
    <x v="34"/>
  </r>
  <r>
    <x v="424"/>
    <s v="C427"/>
    <s v="B0007"/>
    <x v="50"/>
    <x v="0"/>
    <x v="32"/>
  </r>
  <r>
    <x v="425"/>
    <s v="C536"/>
    <s v="B0001"/>
    <x v="134"/>
    <x v="1"/>
    <x v="25"/>
  </r>
  <r>
    <x v="426"/>
    <s v="C190"/>
    <s v="B0009"/>
    <x v="154"/>
    <x v="0"/>
    <x v="27"/>
  </r>
  <r>
    <x v="427"/>
    <s v="C560"/>
    <s v="B0010"/>
    <x v="167"/>
    <x v="0"/>
    <x v="22"/>
  </r>
  <r>
    <x v="428"/>
    <s v="C471"/>
    <s v="B0005"/>
    <x v="146"/>
    <x v="0"/>
    <x v="28"/>
  </r>
  <r>
    <x v="429"/>
    <s v="C290"/>
    <s v="B0003"/>
    <x v="55"/>
    <x v="1"/>
    <x v="27"/>
  </r>
  <r>
    <x v="430"/>
    <s v="C430"/>
    <s v="B0008"/>
    <x v="113"/>
    <x v="1"/>
    <x v="11"/>
  </r>
  <r>
    <x v="431"/>
    <s v="C306"/>
    <s v="B0001"/>
    <x v="18"/>
    <x v="0"/>
    <x v="4"/>
  </r>
  <r>
    <x v="432"/>
    <s v="C159"/>
    <s v="B0001"/>
    <x v="124"/>
    <x v="0"/>
    <x v="16"/>
  </r>
  <r>
    <x v="433"/>
    <s v="C309"/>
    <s v="B0002"/>
    <x v="64"/>
    <x v="0"/>
    <x v="3"/>
  </r>
  <r>
    <x v="434"/>
    <s v="C364"/>
    <s v="B0009"/>
    <x v="143"/>
    <x v="1"/>
    <x v="37"/>
  </r>
  <r>
    <x v="435"/>
    <s v="C347"/>
    <s v="B0003"/>
    <x v="160"/>
    <x v="1"/>
    <x v="3"/>
  </r>
  <r>
    <x v="436"/>
    <s v="C549"/>
    <s v="B0001"/>
    <x v="110"/>
    <x v="0"/>
    <x v="43"/>
  </r>
  <r>
    <x v="437"/>
    <s v="C369"/>
    <s v="B0007"/>
    <x v="53"/>
    <x v="1"/>
    <x v="19"/>
  </r>
  <r>
    <x v="438"/>
    <s v="C231"/>
    <s v="B0001"/>
    <x v="76"/>
    <x v="1"/>
    <x v="9"/>
  </r>
  <r>
    <x v="439"/>
    <s v="C156"/>
    <s v="B0008"/>
    <x v="151"/>
    <x v="0"/>
    <x v="20"/>
  </r>
  <r>
    <x v="440"/>
    <s v="C323"/>
    <s v="B0004"/>
    <x v="168"/>
    <x v="1"/>
    <x v="12"/>
  </r>
  <r>
    <x v="441"/>
    <s v="C282"/>
    <s v="B0009"/>
    <x v="62"/>
    <x v="1"/>
    <x v="31"/>
  </r>
  <r>
    <x v="442"/>
    <s v="C217"/>
    <s v="B0006"/>
    <x v="151"/>
    <x v="1"/>
    <x v="16"/>
  </r>
  <r>
    <x v="443"/>
    <s v="C114"/>
    <s v="B0006"/>
    <x v="34"/>
    <x v="0"/>
    <x v="8"/>
  </r>
  <r>
    <x v="444"/>
    <s v="C572"/>
    <s v="B0002"/>
    <x v="131"/>
    <x v="0"/>
    <x v="8"/>
  </r>
  <r>
    <x v="445"/>
    <s v="C441"/>
    <s v="B0007"/>
    <x v="125"/>
    <x v="0"/>
    <x v="25"/>
  </r>
  <r>
    <x v="446"/>
    <s v="C460"/>
    <s v="B0002"/>
    <x v="105"/>
    <x v="0"/>
    <x v="37"/>
  </r>
  <r>
    <x v="447"/>
    <s v="C239"/>
    <s v="B0003"/>
    <x v="120"/>
    <x v="1"/>
    <x v="30"/>
  </r>
  <r>
    <x v="448"/>
    <s v="C536"/>
    <s v="B0006"/>
    <x v="67"/>
    <x v="0"/>
    <x v="35"/>
  </r>
  <r>
    <x v="449"/>
    <s v="C139"/>
    <s v="B0002"/>
    <x v="55"/>
    <x v="1"/>
    <x v="3"/>
  </r>
  <r>
    <x v="450"/>
    <s v="C120"/>
    <s v="B0007"/>
    <x v="160"/>
    <x v="1"/>
    <x v="6"/>
  </r>
  <r>
    <x v="451"/>
    <s v="C555"/>
    <s v="B0002"/>
    <x v="85"/>
    <x v="0"/>
    <x v="17"/>
  </r>
  <r>
    <x v="452"/>
    <s v="C103"/>
    <s v="B0001"/>
    <x v="12"/>
    <x v="1"/>
    <x v="34"/>
  </r>
  <r>
    <x v="453"/>
    <s v="C312"/>
    <s v="B0003"/>
    <x v="169"/>
    <x v="1"/>
    <x v="15"/>
  </r>
  <r>
    <x v="454"/>
    <s v="C525"/>
    <s v="B0002"/>
    <x v="93"/>
    <x v="0"/>
    <x v="38"/>
  </r>
  <r>
    <x v="455"/>
    <s v="C284"/>
    <s v="B0007"/>
    <x v="38"/>
    <x v="0"/>
    <x v="17"/>
  </r>
  <r>
    <x v="456"/>
    <s v="C525"/>
    <s v="B0005"/>
    <x v="7"/>
    <x v="1"/>
    <x v="35"/>
  </r>
  <r>
    <x v="457"/>
    <s v="C534"/>
    <s v="B0007"/>
    <x v="145"/>
    <x v="0"/>
    <x v="8"/>
  </r>
  <r>
    <x v="458"/>
    <s v="C579"/>
    <s v="B0005"/>
    <x v="85"/>
    <x v="1"/>
    <x v="18"/>
  </r>
  <r>
    <x v="459"/>
    <s v="C342"/>
    <s v="B0009"/>
    <x v="90"/>
    <x v="0"/>
    <x v="25"/>
  </r>
  <r>
    <x v="460"/>
    <s v="C569"/>
    <s v="B0004"/>
    <x v="153"/>
    <x v="1"/>
    <x v="37"/>
  </r>
  <r>
    <x v="461"/>
    <s v="C474"/>
    <s v="B0002"/>
    <x v="40"/>
    <x v="1"/>
    <x v="14"/>
  </r>
  <r>
    <x v="462"/>
    <s v="C542"/>
    <s v="B0008"/>
    <x v="100"/>
    <x v="0"/>
    <x v="47"/>
  </r>
  <r>
    <x v="463"/>
    <s v="C201"/>
    <s v="B0001"/>
    <x v="42"/>
    <x v="1"/>
    <x v="32"/>
  </r>
  <r>
    <x v="464"/>
    <s v="C377"/>
    <s v="B0009"/>
    <x v="109"/>
    <x v="1"/>
    <x v="47"/>
  </r>
  <r>
    <x v="465"/>
    <s v="C306"/>
    <s v="B0006"/>
    <x v="156"/>
    <x v="0"/>
    <x v="49"/>
  </r>
  <r>
    <x v="466"/>
    <s v="C214"/>
    <s v="B0002"/>
    <x v="133"/>
    <x v="1"/>
    <x v="23"/>
  </r>
  <r>
    <x v="467"/>
    <s v="C168"/>
    <s v="B0008"/>
    <x v="87"/>
    <x v="1"/>
    <x v="8"/>
  </r>
  <r>
    <x v="468"/>
    <s v="C452"/>
    <s v="B0003"/>
    <x v="113"/>
    <x v="0"/>
    <x v="35"/>
  </r>
  <r>
    <x v="469"/>
    <s v="C580"/>
    <s v="B0003"/>
    <x v="156"/>
    <x v="1"/>
    <x v="40"/>
  </r>
  <r>
    <x v="470"/>
    <s v="C165"/>
    <s v="B0004"/>
    <x v="53"/>
    <x v="1"/>
    <x v="46"/>
  </r>
  <r>
    <x v="471"/>
    <s v="C513"/>
    <s v="B0006"/>
    <x v="99"/>
    <x v="0"/>
    <x v="23"/>
  </r>
  <r>
    <x v="472"/>
    <s v="C281"/>
    <s v="B0001"/>
    <x v="0"/>
    <x v="1"/>
    <x v="12"/>
  </r>
  <r>
    <x v="473"/>
    <s v="C261"/>
    <s v="B0005"/>
    <x v="139"/>
    <x v="1"/>
    <x v="49"/>
  </r>
  <r>
    <x v="474"/>
    <s v="C375"/>
    <s v="B0009"/>
    <x v="149"/>
    <x v="1"/>
    <x v="6"/>
  </r>
  <r>
    <x v="475"/>
    <s v="C397"/>
    <s v="B0001"/>
    <x v="35"/>
    <x v="1"/>
    <x v="25"/>
  </r>
  <r>
    <x v="476"/>
    <s v="C175"/>
    <s v="B0005"/>
    <x v="116"/>
    <x v="0"/>
    <x v="42"/>
  </r>
  <r>
    <x v="477"/>
    <s v="C490"/>
    <s v="B0002"/>
    <x v="4"/>
    <x v="0"/>
    <x v="2"/>
  </r>
  <r>
    <x v="478"/>
    <s v="C541"/>
    <s v="B0006"/>
    <x v="56"/>
    <x v="1"/>
    <x v="36"/>
  </r>
  <r>
    <x v="479"/>
    <s v="C578"/>
    <s v="B0008"/>
    <x v="120"/>
    <x v="0"/>
    <x v="33"/>
  </r>
  <r>
    <x v="480"/>
    <s v="C252"/>
    <s v="B0010"/>
    <x v="107"/>
    <x v="1"/>
    <x v="36"/>
  </r>
  <r>
    <x v="481"/>
    <s v="C128"/>
    <s v="B0003"/>
    <x v="170"/>
    <x v="0"/>
    <x v="31"/>
  </r>
  <r>
    <x v="482"/>
    <s v="C247"/>
    <s v="B0004"/>
    <x v="136"/>
    <x v="0"/>
    <x v="0"/>
  </r>
  <r>
    <x v="483"/>
    <s v="C218"/>
    <s v="B0001"/>
    <x v="73"/>
    <x v="1"/>
    <x v="19"/>
  </r>
  <r>
    <x v="484"/>
    <s v="C489"/>
    <s v="B0004"/>
    <x v="171"/>
    <x v="1"/>
    <x v="36"/>
  </r>
  <r>
    <x v="485"/>
    <s v="C567"/>
    <s v="B0007"/>
    <x v="110"/>
    <x v="0"/>
    <x v="6"/>
  </r>
  <r>
    <x v="486"/>
    <s v="C506"/>
    <s v="B0006"/>
    <x v="109"/>
    <x v="1"/>
    <x v="10"/>
  </r>
  <r>
    <x v="487"/>
    <s v="C303"/>
    <s v="B0005"/>
    <x v="71"/>
    <x v="0"/>
    <x v="39"/>
  </r>
  <r>
    <x v="488"/>
    <s v="C304"/>
    <s v="B0005"/>
    <x v="14"/>
    <x v="0"/>
    <x v="43"/>
  </r>
  <r>
    <x v="489"/>
    <s v="C451"/>
    <s v="B0010"/>
    <x v="118"/>
    <x v="0"/>
    <x v="17"/>
  </r>
  <r>
    <x v="490"/>
    <s v="C429"/>
    <s v="B0006"/>
    <x v="172"/>
    <x v="1"/>
    <x v="5"/>
  </r>
  <r>
    <x v="491"/>
    <s v="C119"/>
    <s v="B0008"/>
    <x v="32"/>
    <x v="1"/>
    <x v="0"/>
  </r>
  <r>
    <x v="492"/>
    <s v="C476"/>
    <s v="B0010"/>
    <x v="85"/>
    <x v="1"/>
    <x v="44"/>
  </r>
  <r>
    <x v="493"/>
    <s v="C228"/>
    <s v="B0003"/>
    <x v="88"/>
    <x v="0"/>
    <x v="0"/>
  </r>
  <r>
    <x v="494"/>
    <s v="C592"/>
    <s v="B0003"/>
    <x v="94"/>
    <x v="1"/>
    <x v="25"/>
  </r>
  <r>
    <x v="495"/>
    <s v="C472"/>
    <s v="B0007"/>
    <x v="109"/>
    <x v="0"/>
    <x v="36"/>
  </r>
  <r>
    <x v="496"/>
    <s v="C306"/>
    <s v="B0003"/>
    <x v="38"/>
    <x v="0"/>
    <x v="39"/>
  </r>
  <r>
    <x v="497"/>
    <s v="C192"/>
    <s v="B0005"/>
    <x v="2"/>
    <x v="0"/>
    <x v="28"/>
  </r>
  <r>
    <x v="498"/>
    <s v="C279"/>
    <s v="B0001"/>
    <x v="55"/>
    <x v="1"/>
    <x v="2"/>
  </r>
  <r>
    <x v="499"/>
    <s v="C102"/>
    <s v="B0003"/>
    <x v="122"/>
    <x v="0"/>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x v="0"/>
  </r>
  <r>
    <x v="1"/>
    <x v="1"/>
    <x v="1"/>
    <x v="1"/>
  </r>
  <r>
    <x v="2"/>
    <x v="2"/>
    <x v="2"/>
    <x v="2"/>
  </r>
  <r>
    <x v="3"/>
    <x v="3"/>
    <x v="1"/>
    <x v="3"/>
  </r>
  <r>
    <x v="4"/>
    <x v="4"/>
    <x v="2"/>
    <x v="4"/>
  </r>
  <r>
    <x v="5"/>
    <x v="5"/>
    <x v="1"/>
    <x v="5"/>
  </r>
  <r>
    <x v="6"/>
    <x v="6"/>
    <x v="3"/>
    <x v="6"/>
  </r>
  <r>
    <x v="7"/>
    <x v="7"/>
    <x v="1"/>
    <x v="7"/>
  </r>
  <r>
    <x v="8"/>
    <x v="8"/>
    <x v="3"/>
    <x v="8"/>
  </r>
  <r>
    <x v="9"/>
    <x v="9"/>
    <x v="2"/>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6251DD-8B03-428D-A3F3-1176F615A13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1:C34" firstHeaderRow="0" firstDataRow="1" firstDataCol="1"/>
  <pivotFields count="8">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numFmtId="14" showAll="0">
      <items count="174">
        <item x="33"/>
        <item x="111"/>
        <item x="78"/>
        <item x="109"/>
        <item x="93"/>
        <item x="80"/>
        <item x="153"/>
        <item x="35"/>
        <item x="150"/>
        <item x="92"/>
        <item x="123"/>
        <item x="162"/>
        <item x="110"/>
        <item x="4"/>
        <item x="133"/>
        <item x="140"/>
        <item x="98"/>
        <item x="76"/>
        <item x="104"/>
        <item x="9"/>
        <item x="171"/>
        <item x="14"/>
        <item x="19"/>
        <item x="103"/>
        <item x="61"/>
        <item x="60"/>
        <item x="57"/>
        <item x="70"/>
        <item x="168"/>
        <item x="65"/>
        <item x="101"/>
        <item x="8"/>
        <item x="149"/>
        <item x="147"/>
        <item x="59"/>
        <item x="49"/>
        <item x="31"/>
        <item x="145"/>
        <item x="18"/>
        <item x="2"/>
        <item x="114"/>
        <item x="75"/>
        <item x="3"/>
        <item x="94"/>
        <item x="134"/>
        <item x="72"/>
        <item x="58"/>
        <item x="106"/>
        <item x="170"/>
        <item x="83"/>
        <item x="1"/>
        <item x="143"/>
        <item x="113"/>
        <item x="126"/>
        <item x="172"/>
        <item x="86"/>
        <item x="115"/>
        <item x="13"/>
        <item x="130"/>
        <item x="62"/>
        <item x="90"/>
        <item x="144"/>
        <item x="48"/>
        <item x="108"/>
        <item x="28"/>
        <item x="82"/>
        <item x="116"/>
        <item x="121"/>
        <item x="21"/>
        <item x="155"/>
        <item x="0"/>
        <item x="85"/>
        <item x="100"/>
        <item x="24"/>
        <item x="164"/>
        <item x="165"/>
        <item x="79"/>
        <item x="45"/>
        <item x="12"/>
        <item x="71"/>
        <item x="51"/>
        <item x="63"/>
        <item x="81"/>
        <item x="141"/>
        <item x="73"/>
        <item x="39"/>
        <item x="118"/>
        <item x="69"/>
        <item x="11"/>
        <item x="34"/>
        <item x="137"/>
        <item x="124"/>
        <item x="107"/>
        <item x="7"/>
        <item x="167"/>
        <item x="22"/>
        <item x="148"/>
        <item x="23"/>
        <item x="55"/>
        <item x="44"/>
        <item x="32"/>
        <item x="163"/>
        <item x="131"/>
        <item x="95"/>
        <item x="30"/>
        <item x="156"/>
        <item x="67"/>
        <item x="138"/>
        <item x="25"/>
        <item x="157"/>
        <item x="146"/>
        <item x="105"/>
        <item x="87"/>
        <item x="91"/>
        <item x="158"/>
        <item x="97"/>
        <item x="5"/>
        <item x="112"/>
        <item x="15"/>
        <item x="6"/>
        <item x="132"/>
        <item x="96"/>
        <item x="47"/>
        <item x="152"/>
        <item x="38"/>
        <item x="88"/>
        <item x="166"/>
        <item x="36"/>
        <item x="54"/>
        <item x="99"/>
        <item x="120"/>
        <item x="136"/>
        <item x="102"/>
        <item x="27"/>
        <item x="74"/>
        <item x="84"/>
        <item x="68"/>
        <item x="160"/>
        <item x="64"/>
        <item x="53"/>
        <item x="29"/>
        <item x="154"/>
        <item x="37"/>
        <item x="135"/>
        <item x="41"/>
        <item x="117"/>
        <item x="77"/>
        <item x="127"/>
        <item x="122"/>
        <item x="42"/>
        <item x="129"/>
        <item x="151"/>
        <item x="66"/>
        <item x="17"/>
        <item x="10"/>
        <item x="26"/>
        <item x="142"/>
        <item x="125"/>
        <item x="52"/>
        <item x="43"/>
        <item x="40"/>
        <item x="46"/>
        <item x="20"/>
        <item x="128"/>
        <item x="139"/>
        <item x="119"/>
        <item x="56"/>
        <item x="89"/>
        <item x="169"/>
        <item x="16"/>
        <item x="50"/>
        <item x="159"/>
        <item x="161"/>
        <item t="default"/>
      </items>
    </pivotField>
    <pivotField axis="axisRow" showAll="0">
      <items count="3">
        <item x="0"/>
        <item x="1"/>
        <item t="default"/>
      </items>
    </pivotField>
    <pivotField dataField="1" showAll="0">
      <items count="51">
        <item x="40"/>
        <item x="13"/>
        <item x="24"/>
        <item x="39"/>
        <item x="16"/>
        <item x="37"/>
        <item x="34"/>
        <item x="28"/>
        <item x="41"/>
        <item x="43"/>
        <item x="9"/>
        <item x="11"/>
        <item x="17"/>
        <item x="31"/>
        <item x="38"/>
        <item x="4"/>
        <item x="0"/>
        <item x="46"/>
        <item x="26"/>
        <item x="45"/>
        <item x="1"/>
        <item x="3"/>
        <item x="48"/>
        <item x="33"/>
        <item x="21"/>
        <item x="2"/>
        <item x="36"/>
        <item x="49"/>
        <item x="19"/>
        <item x="7"/>
        <item x="27"/>
        <item x="29"/>
        <item x="15"/>
        <item x="18"/>
        <item x="14"/>
        <item x="22"/>
        <item x="10"/>
        <item x="30"/>
        <item x="8"/>
        <item x="32"/>
        <item x="35"/>
        <item x="12"/>
        <item x="47"/>
        <item x="44"/>
        <item x="20"/>
        <item x="42"/>
        <item x="25"/>
        <item x="23"/>
        <item x="6"/>
        <item x="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i>
    <i>
      <x v="1"/>
    </i>
    <i t="grand">
      <x/>
    </i>
  </rowItems>
  <colFields count="1">
    <field x="-2"/>
  </colFields>
  <colItems count="2">
    <i>
      <x/>
    </i>
    <i i="1">
      <x v="1"/>
    </i>
  </colItems>
  <dataFields count="2">
    <dataField name="Count of Transaction ID" fld="0" subtotal="count" baseField="0" baseItem="0"/>
    <dataField name="Sum of Amount" fld="5"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E8CCA5-F25C-4E80-9D34-6541646F76C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J27" firstHeaderRow="1" firstDataRow="3" firstDataCol="1"/>
  <pivotFields count="8">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310">
        <item x="142"/>
        <item x="244"/>
        <item x="6"/>
        <item x="67"/>
        <item x="307"/>
        <item x="84"/>
        <item x="137"/>
        <item x="43"/>
        <item x="23"/>
        <item x="115"/>
        <item x="17"/>
        <item x="128"/>
        <item x="1"/>
        <item x="253"/>
        <item x="279"/>
        <item x="241"/>
        <item x="297"/>
        <item x="147"/>
        <item x="281"/>
        <item x="255"/>
        <item x="11"/>
        <item x="31"/>
        <item x="205"/>
        <item x="57"/>
        <item x="257"/>
        <item x="230"/>
        <item x="145"/>
        <item x="78"/>
        <item x="97"/>
        <item x="157"/>
        <item x="9"/>
        <item x="243"/>
        <item x="198"/>
        <item x="238"/>
        <item x="197"/>
        <item x="208"/>
        <item x="81"/>
        <item x="215"/>
        <item x="36"/>
        <item x="10"/>
        <item x="234"/>
        <item x="202"/>
        <item x="42"/>
        <item x="287"/>
        <item x="283"/>
        <item x="270"/>
        <item x="118"/>
        <item x="194"/>
        <item x="162"/>
        <item x="276"/>
        <item x="223"/>
        <item x="299"/>
        <item x="22"/>
        <item x="236"/>
        <item x="108"/>
        <item x="231"/>
        <item x="2"/>
        <item x="87"/>
        <item x="20"/>
        <item x="53"/>
        <item x="227"/>
        <item x="114"/>
        <item x="127"/>
        <item x="219"/>
        <item x="144"/>
        <item x="80"/>
        <item x="64"/>
        <item x="256"/>
        <item x="228"/>
        <item x="119"/>
        <item x="267"/>
        <item x="132"/>
        <item x="204"/>
        <item x="168"/>
        <item x="35"/>
        <item x="33"/>
        <item x="21"/>
        <item x="63"/>
        <item x="112"/>
        <item x="151"/>
        <item x="68"/>
        <item x="191"/>
        <item x="117"/>
        <item x="110"/>
        <item x="182"/>
        <item x="71"/>
        <item x="175"/>
        <item x="161"/>
        <item x="103"/>
        <item x="275"/>
        <item x="120"/>
        <item x="105"/>
        <item x="90"/>
        <item x="301"/>
        <item x="300"/>
        <item x="8"/>
        <item x="172"/>
        <item x="160"/>
        <item x="295"/>
        <item x="174"/>
        <item x="62"/>
        <item x="266"/>
        <item x="159"/>
        <item x="92"/>
        <item x="14"/>
        <item x="74"/>
        <item x="179"/>
        <item x="280"/>
        <item x="268"/>
        <item x="150"/>
        <item x="192"/>
        <item x="239"/>
        <item x="190"/>
        <item x="69"/>
        <item x="76"/>
        <item x="298"/>
        <item x="212"/>
        <item x="122"/>
        <item x="79"/>
        <item x="39"/>
        <item x="248"/>
        <item x="70"/>
        <item x="195"/>
        <item x="181"/>
        <item x="28"/>
        <item x="246"/>
        <item x="277"/>
        <item x="265"/>
        <item x="47"/>
        <item x="48"/>
        <item x="0"/>
        <item x="225"/>
        <item x="101"/>
        <item x="186"/>
        <item x="180"/>
        <item x="125"/>
        <item x="178"/>
        <item x="12"/>
        <item x="293"/>
        <item x="201"/>
        <item x="269"/>
        <item x="188"/>
        <item x="259"/>
        <item x="41"/>
        <item x="116"/>
        <item x="305"/>
        <item x="209"/>
        <item x="88"/>
        <item x="163"/>
        <item x="52"/>
        <item x="233"/>
        <item x="273"/>
        <item x="185"/>
        <item x="286"/>
        <item x="263"/>
        <item x="224"/>
        <item x="158"/>
        <item x="216"/>
        <item x="93"/>
        <item x="183"/>
        <item x="129"/>
        <item x="24"/>
        <item x="16"/>
        <item x="274"/>
        <item x="94"/>
        <item x="77"/>
        <item x="165"/>
        <item x="155"/>
        <item x="304"/>
        <item x="83"/>
        <item x="152"/>
        <item x="143"/>
        <item x="126"/>
        <item x="252"/>
        <item x="272"/>
        <item x="113"/>
        <item x="75"/>
        <item x="26"/>
        <item x="235"/>
        <item x="131"/>
        <item x="285"/>
        <item x="65"/>
        <item x="50"/>
        <item x="260"/>
        <item x="303"/>
        <item x="140"/>
        <item x="109"/>
        <item x="134"/>
        <item x="51"/>
        <item x="133"/>
        <item x="211"/>
        <item x="282"/>
        <item x="27"/>
        <item x="19"/>
        <item x="218"/>
        <item x="45"/>
        <item x="146"/>
        <item x="292"/>
        <item x="291"/>
        <item x="164"/>
        <item x="32"/>
        <item x="249"/>
        <item x="306"/>
        <item x="37"/>
        <item x="184"/>
        <item x="138"/>
        <item x="199"/>
        <item x="261"/>
        <item x="288"/>
        <item x="289"/>
        <item x="149"/>
        <item x="173"/>
        <item x="254"/>
        <item x="222"/>
        <item x="200"/>
        <item x="25"/>
        <item x="29"/>
        <item x="98"/>
        <item x="5"/>
        <item x="86"/>
        <item x="4"/>
        <item x="40"/>
        <item x="99"/>
        <item x="141"/>
        <item x="278"/>
        <item x="54"/>
        <item x="171"/>
        <item x="170"/>
        <item x="217"/>
        <item x="55"/>
        <item x="148"/>
        <item x="95"/>
        <item x="58"/>
        <item x="96"/>
        <item x="271"/>
        <item x="242"/>
        <item x="136"/>
        <item x="34"/>
        <item x="60"/>
        <item x="38"/>
        <item x="3"/>
        <item x="61"/>
        <item x="73"/>
        <item x="107"/>
        <item x="203"/>
        <item x="102"/>
        <item x="166"/>
        <item x="89"/>
        <item x="213"/>
        <item x="135"/>
        <item x="177"/>
        <item x="207"/>
        <item x="167"/>
        <item x="193"/>
        <item x="187"/>
        <item x="290"/>
        <item x="18"/>
        <item x="214"/>
        <item x="7"/>
        <item x="156"/>
        <item x="139"/>
        <item x="226"/>
        <item x="104"/>
        <item x="123"/>
        <item x="250"/>
        <item x="56"/>
        <item x="124"/>
        <item x="262"/>
        <item x="106"/>
        <item x="308"/>
        <item x="258"/>
        <item x="46"/>
        <item x="59"/>
        <item x="240"/>
        <item x="169"/>
        <item x="44"/>
        <item x="176"/>
        <item x="100"/>
        <item x="154"/>
        <item x="206"/>
        <item x="296"/>
        <item x="15"/>
        <item x="284"/>
        <item x="111"/>
        <item x="196"/>
        <item x="237"/>
        <item x="121"/>
        <item x="153"/>
        <item x="66"/>
        <item x="13"/>
        <item x="210"/>
        <item x="264"/>
        <item x="91"/>
        <item x="251"/>
        <item x="221"/>
        <item x="49"/>
        <item x="232"/>
        <item x="189"/>
        <item x="85"/>
        <item x="247"/>
        <item x="229"/>
        <item x="72"/>
        <item x="294"/>
        <item x="245"/>
        <item x="302"/>
        <item x="82"/>
        <item x="30"/>
        <item x="130"/>
        <item x="220"/>
        <item t="default"/>
      </items>
    </pivotField>
    <pivotField showAll="0"/>
    <pivotField axis="axisRow" showAll="0">
      <items count="5">
        <item x="1"/>
        <item x="0"/>
        <item x="3"/>
        <item x="2"/>
        <item t="default"/>
      </items>
    </pivotField>
    <pivotField dataField="1" showAll="0">
      <items count="91">
        <item x="4"/>
        <item x="33"/>
        <item x="55"/>
        <item x="26"/>
        <item x="60"/>
        <item x="11"/>
        <item x="16"/>
        <item x="28"/>
        <item x="34"/>
        <item x="70"/>
        <item x="45"/>
        <item x="35"/>
        <item x="10"/>
        <item x="47"/>
        <item x="61"/>
        <item x="58"/>
        <item x="62"/>
        <item x="67"/>
        <item x="79"/>
        <item x="54"/>
        <item x="31"/>
        <item x="87"/>
        <item x="20"/>
        <item x="74"/>
        <item x="80"/>
        <item x="42"/>
        <item x="15"/>
        <item x="52"/>
        <item x="49"/>
        <item x="63"/>
        <item x="25"/>
        <item x="41"/>
        <item x="76"/>
        <item x="72"/>
        <item x="36"/>
        <item x="37"/>
        <item x="71"/>
        <item x="50"/>
        <item x="6"/>
        <item x="66"/>
        <item x="77"/>
        <item x="7"/>
        <item x="38"/>
        <item x="57"/>
        <item x="64"/>
        <item x="82"/>
        <item x="18"/>
        <item x="1"/>
        <item x="53"/>
        <item x="24"/>
        <item x="51"/>
        <item x="56"/>
        <item x="0"/>
        <item x="59"/>
        <item x="81"/>
        <item x="85"/>
        <item x="75"/>
        <item x="21"/>
        <item x="86"/>
        <item x="39"/>
        <item x="19"/>
        <item x="43"/>
        <item x="27"/>
        <item x="32"/>
        <item x="17"/>
        <item x="14"/>
        <item x="3"/>
        <item x="68"/>
        <item x="48"/>
        <item x="30"/>
        <item x="5"/>
        <item x="88"/>
        <item x="78"/>
        <item x="8"/>
        <item x="13"/>
        <item x="46"/>
        <item x="40"/>
        <item x="29"/>
        <item x="22"/>
        <item x="89"/>
        <item x="12"/>
        <item x="65"/>
        <item x="73"/>
        <item x="23"/>
        <item x="83"/>
        <item x="9"/>
        <item x="84"/>
        <item x="2"/>
        <item x="69"/>
        <item x="44"/>
        <item t="default"/>
      </items>
    </pivotField>
    <pivotField dataField="1" showAll="0">
      <items count="42">
        <item x="24"/>
        <item x="35"/>
        <item x="33"/>
        <item x="25"/>
        <item x="36"/>
        <item x="17"/>
        <item x="5"/>
        <item x="16"/>
        <item x="30"/>
        <item x="9"/>
        <item x="32"/>
        <item x="20"/>
        <item x="28"/>
        <item x="15"/>
        <item x="26"/>
        <item x="37"/>
        <item x="2"/>
        <item x="39"/>
        <item x="8"/>
        <item x="22"/>
        <item x="27"/>
        <item x="3"/>
        <item x="1"/>
        <item x="6"/>
        <item x="23"/>
        <item x="7"/>
        <item x="0"/>
        <item x="34"/>
        <item x="10"/>
        <item x="11"/>
        <item x="38"/>
        <item x="13"/>
        <item x="40"/>
        <item x="18"/>
        <item x="4"/>
        <item x="31"/>
        <item x="29"/>
        <item x="21"/>
        <item x="19"/>
        <item x="14"/>
        <item x="12"/>
        <item t="default"/>
      </items>
    </pivotField>
    <pivotField axis="axisCol" showAll="0">
      <items count="3">
        <item x="0"/>
        <item x="1"/>
        <item t="default"/>
      </items>
    </pivotField>
    <pivotField showAll="0"/>
  </pivotFields>
  <rowFields count="1">
    <field x="3"/>
  </rowFields>
  <rowItems count="5">
    <i>
      <x/>
    </i>
    <i>
      <x v="1"/>
    </i>
    <i>
      <x v="2"/>
    </i>
    <i>
      <x v="3"/>
    </i>
    <i t="grand">
      <x/>
    </i>
  </rowItems>
  <colFields count="2">
    <field x="6"/>
    <field x="-2"/>
  </colFields>
  <colItems count="9">
    <i>
      <x/>
      <x/>
    </i>
    <i r="1" i="1">
      <x v="1"/>
    </i>
    <i r="1" i="2">
      <x v="2"/>
    </i>
    <i>
      <x v="1"/>
      <x/>
    </i>
    <i r="1" i="1">
      <x v="1"/>
    </i>
    <i r="1" i="2">
      <x v="2"/>
    </i>
    <i t="grand">
      <x/>
    </i>
    <i t="grand" i="1">
      <x/>
    </i>
    <i t="grand" i="2">
      <x/>
    </i>
  </colItems>
  <dataFields count="3">
    <dataField name="Sum of Loan Amount" fld="4" baseField="0" baseItem="0"/>
    <dataField name="Sum of DTI" fld="5" baseField="0" baseItem="0"/>
    <dataField name="Count of Loan ID" fld="0" subtotal="count" baseField="0" baseItem="0"/>
  </dataFields>
  <chartFormats count="18">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1"/>
          </reference>
          <reference field="6" count="1" selected="0">
            <x v="0"/>
          </reference>
        </references>
      </pivotArea>
    </chartFormat>
    <chartFormat chart="2" format="14" series="1">
      <pivotArea type="data" outline="0" fieldPosition="0">
        <references count="2">
          <reference field="4294967294" count="1" selected="0">
            <x v="2"/>
          </reference>
          <reference field="6" count="1" selected="0">
            <x v="0"/>
          </reference>
        </references>
      </pivotArea>
    </chartFormat>
    <chartFormat chart="2" format="15" series="1">
      <pivotArea type="data" outline="0" fieldPosition="0">
        <references count="2">
          <reference field="4294967294" count="1" selected="0">
            <x v="0"/>
          </reference>
          <reference field="6" count="1" selected="0">
            <x v="1"/>
          </reference>
        </references>
      </pivotArea>
    </chartFormat>
    <chartFormat chart="2" format="16" series="1">
      <pivotArea type="data" outline="0" fieldPosition="0">
        <references count="2">
          <reference field="4294967294" count="1" selected="0">
            <x v="1"/>
          </reference>
          <reference field="6" count="1" selected="0">
            <x v="1"/>
          </reference>
        </references>
      </pivotArea>
    </chartFormat>
    <chartFormat chart="2" format="17" series="1">
      <pivotArea type="data" outline="0" fieldPosition="0">
        <references count="2">
          <reference field="4294967294" count="1" selected="0">
            <x v="2"/>
          </reference>
          <reference field="6" count="1" selected="0">
            <x v="1"/>
          </reference>
        </references>
      </pivotArea>
    </chartFormat>
    <chartFormat chart="5" format="24" series="1">
      <pivotArea type="data" outline="0" fieldPosition="0">
        <references count="2">
          <reference field="4294967294" count="1" selected="0">
            <x v="0"/>
          </reference>
          <reference field="6" count="1" selected="0">
            <x v="0"/>
          </reference>
        </references>
      </pivotArea>
    </chartFormat>
    <chartFormat chart="5" format="25" series="1">
      <pivotArea type="data" outline="0" fieldPosition="0">
        <references count="2">
          <reference field="4294967294" count="1" selected="0">
            <x v="1"/>
          </reference>
          <reference field="6" count="1" selected="0">
            <x v="0"/>
          </reference>
        </references>
      </pivotArea>
    </chartFormat>
    <chartFormat chart="5" format="26" series="1">
      <pivotArea type="data" outline="0" fieldPosition="0">
        <references count="2">
          <reference field="4294967294" count="1" selected="0">
            <x v="2"/>
          </reference>
          <reference field="6" count="1" selected="0">
            <x v="0"/>
          </reference>
        </references>
      </pivotArea>
    </chartFormat>
    <chartFormat chart="5" format="27" series="1">
      <pivotArea type="data" outline="0" fieldPosition="0">
        <references count="2">
          <reference field="4294967294" count="1" selected="0">
            <x v="0"/>
          </reference>
          <reference field="6" count="1" selected="0">
            <x v="1"/>
          </reference>
        </references>
      </pivotArea>
    </chartFormat>
    <chartFormat chart="5" format="28" series="1">
      <pivotArea type="data" outline="0" fieldPosition="0">
        <references count="2">
          <reference field="4294967294" count="1" selected="0">
            <x v="1"/>
          </reference>
          <reference field="6" count="1" selected="0">
            <x v="1"/>
          </reference>
        </references>
      </pivotArea>
    </chartFormat>
    <chartFormat chart="5" format="29" series="1">
      <pivotArea type="data" outline="0" fieldPosition="0">
        <references count="2">
          <reference field="4294967294" count="1" selected="0">
            <x v="2"/>
          </reference>
          <reference field="6" count="1" selected="0">
            <x v="1"/>
          </reference>
        </references>
      </pivotArea>
    </chartFormat>
    <chartFormat chart="5" format="30" series="1">
      <pivotArea type="data" grandCol="1" outline="0" fieldPosition="0">
        <references count="1">
          <reference field="4294967294" count="1" selected="0">
            <x v="0"/>
          </reference>
        </references>
      </pivotArea>
    </chartFormat>
    <chartFormat chart="5" format="31" series="1">
      <pivotArea type="data" grandCol="1" outline="0" fieldPosition="0">
        <references count="1">
          <reference field="4294967294" count="1" selected="0">
            <x v="1"/>
          </reference>
        </references>
      </pivotArea>
    </chartFormat>
    <chartFormat chart="5" format="32" series="1">
      <pivotArea type="data" grandCol="1" outline="0" fieldPosition="0">
        <references count="1">
          <reference field="4294967294" count="1" selected="0">
            <x v="2"/>
          </reference>
        </references>
      </pivotArea>
    </chartFormat>
    <chartFormat chart="2" format="18" series="1">
      <pivotArea type="data" grandCol="1" outline="0" fieldPosition="0">
        <references count="1">
          <reference field="4294967294" count="1" selected="0">
            <x v="0"/>
          </reference>
        </references>
      </pivotArea>
    </chartFormat>
    <chartFormat chart="2" format="19" series="1">
      <pivotArea type="data" grandCol="1" outline="0" fieldPosition="0">
        <references count="1">
          <reference field="4294967294" count="1" selected="0">
            <x v="1"/>
          </reference>
        </references>
      </pivotArea>
    </chartFormat>
    <chartFormat chart="2" format="20" series="1">
      <pivotArea type="data" grandCol="1"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BA2E3F-FCC5-499D-8B84-8924F42DDE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D15" firstHeaderRow="0" firstDataRow="1" firstDataCol="1"/>
  <pivotFields count="7">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501">
        <item h="1" x="0"/>
        <item h="1" x="9"/>
        <item x="99"/>
        <item h="1" x="100"/>
        <item h="1" x="101"/>
        <item h="1" x="102"/>
        <item h="1" x="103"/>
        <item h="1" x="104"/>
        <item h="1" x="105"/>
        <item h="1" x="106"/>
        <item h="1" x="107"/>
        <item h="1" x="108"/>
        <item h="1" x="10"/>
        <item h="1" x="109"/>
        <item h="1" x="110"/>
        <item h="1" x="111"/>
        <item h="1" x="112"/>
        <item h="1" x="113"/>
        <item h="1" x="114"/>
        <item h="1" x="115"/>
        <item h="1" x="116"/>
        <item h="1" x="117"/>
        <item h="1" x="118"/>
        <item h="1" x="11"/>
        <item h="1" x="119"/>
        <item h="1" x="120"/>
        <item h="1" x="121"/>
        <item h="1" x="122"/>
        <item h="1" x="123"/>
        <item h="1" x="124"/>
        <item h="1" x="125"/>
        <item h="1" x="126"/>
        <item h="1" x="127"/>
        <item h="1" x="128"/>
        <item h="1" x="12"/>
        <item h="1" x="129"/>
        <item h="1" x="130"/>
        <item h="1" x="131"/>
        <item h="1" x="132"/>
        <item h="1" x="133"/>
        <item h="1" x="134"/>
        <item h="1" x="135"/>
        <item h="1" x="136"/>
        <item h="1" x="137"/>
        <item h="1" x="138"/>
        <item h="1" x="13"/>
        <item h="1" x="139"/>
        <item h="1" x="140"/>
        <item h="1" x="141"/>
        <item h="1" x="142"/>
        <item h="1" x="143"/>
        <item h="1" x="144"/>
        <item h="1" x="145"/>
        <item h="1" x="146"/>
        <item h="1" x="147"/>
        <item h="1" x="148"/>
        <item h="1" x="14"/>
        <item h="1" x="149"/>
        <item h="1" x="150"/>
        <item h="1" x="151"/>
        <item h="1" x="152"/>
        <item h="1" x="153"/>
        <item h="1" x="154"/>
        <item h="1" x="155"/>
        <item h="1" x="156"/>
        <item h="1" x="157"/>
        <item h="1" x="158"/>
        <item h="1" x="15"/>
        <item h="1" x="159"/>
        <item h="1" x="160"/>
        <item h="1" x="161"/>
        <item h="1" x="162"/>
        <item h="1" x="163"/>
        <item h="1" x="164"/>
        <item h="1" x="165"/>
        <item h="1" x="166"/>
        <item h="1" x="167"/>
        <item h="1" x="168"/>
        <item h="1" x="16"/>
        <item h="1" x="169"/>
        <item h="1" x="170"/>
        <item h="1" x="171"/>
        <item h="1" x="172"/>
        <item h="1" x="173"/>
        <item h="1" x="174"/>
        <item h="1" x="175"/>
        <item h="1" x="176"/>
        <item h="1" x="177"/>
        <item h="1" x="178"/>
        <item h="1" x="17"/>
        <item h="1" x="179"/>
        <item h="1" x="180"/>
        <item h="1" x="181"/>
        <item h="1" x="182"/>
        <item h="1" x="183"/>
        <item h="1" x="184"/>
        <item h="1" x="185"/>
        <item h="1" x="186"/>
        <item h="1" x="187"/>
        <item h="1" x="188"/>
        <item h="1" x="18"/>
        <item h="1" x="189"/>
        <item h="1" x="190"/>
        <item h="1" x="191"/>
        <item h="1" x="192"/>
        <item h="1" x="193"/>
        <item h="1" x="194"/>
        <item h="1" x="195"/>
        <item h="1" x="196"/>
        <item h="1" x="197"/>
        <item h="1" x="198"/>
        <item h="1" x="1"/>
        <item h="1" x="19"/>
        <item h="1" x="199"/>
        <item h="1" x="200"/>
        <item h="1" x="201"/>
        <item h="1" x="202"/>
        <item h="1" x="203"/>
        <item h="1" x="204"/>
        <item h="1" x="205"/>
        <item h="1" x="206"/>
        <item h="1" x="207"/>
        <item h="1" x="208"/>
        <item h="1" x="20"/>
        <item h="1" x="209"/>
        <item h="1" x="210"/>
        <item h="1" x="211"/>
        <item h="1" x="212"/>
        <item h="1" x="213"/>
        <item h="1" x="214"/>
        <item h="1" x="215"/>
        <item h="1" x="216"/>
        <item h="1" x="217"/>
        <item h="1" x="218"/>
        <item h="1" x="21"/>
        <item h="1" x="219"/>
        <item h="1" x="220"/>
        <item h="1" x="221"/>
        <item h="1" x="222"/>
        <item h="1" x="223"/>
        <item h="1" x="224"/>
        <item h="1" x="225"/>
        <item h="1" x="226"/>
        <item h="1" x="227"/>
        <item h="1" x="228"/>
        <item h="1" x="22"/>
        <item h="1" x="229"/>
        <item h="1" x="230"/>
        <item h="1" x="231"/>
        <item h="1" x="232"/>
        <item h="1" x="233"/>
        <item h="1" x="234"/>
        <item h="1" x="235"/>
        <item h="1" x="236"/>
        <item h="1" x="237"/>
        <item h="1" x="238"/>
        <item h="1" x="23"/>
        <item h="1" x="239"/>
        <item h="1" x="240"/>
        <item h="1" x="241"/>
        <item h="1" x="242"/>
        <item h="1" x="243"/>
        <item h="1" x="244"/>
        <item h="1" x="245"/>
        <item h="1" x="246"/>
        <item h="1" x="247"/>
        <item h="1" x="248"/>
        <item h="1" x="24"/>
        <item h="1" x="249"/>
        <item h="1" x="250"/>
        <item h="1" x="251"/>
        <item h="1" x="252"/>
        <item h="1" x="253"/>
        <item h="1" x="254"/>
        <item h="1" x="255"/>
        <item h="1" x="256"/>
        <item h="1" x="257"/>
        <item h="1" x="258"/>
        <item h="1" x="25"/>
        <item h="1" x="259"/>
        <item h="1" x="260"/>
        <item h="1" x="261"/>
        <item h="1" x="262"/>
        <item h="1" x="263"/>
        <item h="1" x="264"/>
        <item h="1" x="265"/>
        <item h="1" x="266"/>
        <item h="1" x="267"/>
        <item h="1" x="268"/>
        <item h="1" x="26"/>
        <item h="1" x="269"/>
        <item h="1" x="270"/>
        <item h="1" x="271"/>
        <item h="1" x="272"/>
        <item h="1" x="273"/>
        <item h="1" x="274"/>
        <item h="1" x="275"/>
        <item h="1" x="276"/>
        <item h="1" x="277"/>
        <item h="1" x="278"/>
        <item h="1" x="27"/>
        <item h="1" x="279"/>
        <item h="1" x="280"/>
        <item h="1" x="281"/>
        <item h="1" x="282"/>
        <item h="1" x="283"/>
        <item h="1" x="284"/>
        <item h="1" x="285"/>
        <item h="1" x="286"/>
        <item h="1" x="287"/>
        <item h="1" x="288"/>
        <item h="1" x="28"/>
        <item h="1" x="289"/>
        <item h="1" x="290"/>
        <item h="1" x="291"/>
        <item h="1" x="292"/>
        <item h="1" x="293"/>
        <item h="1" x="294"/>
        <item h="1" x="295"/>
        <item h="1" x="296"/>
        <item h="1" x="297"/>
        <item h="1" x="298"/>
        <item h="1" x="2"/>
        <item h="1" x="29"/>
        <item h="1" x="299"/>
        <item h="1" x="300"/>
        <item h="1" x="301"/>
        <item h="1" x="302"/>
        <item h="1" x="303"/>
        <item h="1" x="304"/>
        <item h="1" x="305"/>
        <item h="1" x="306"/>
        <item h="1" x="307"/>
        <item h="1" x="308"/>
        <item h="1" x="30"/>
        <item h="1" x="309"/>
        <item h="1" x="310"/>
        <item h="1" x="311"/>
        <item h="1" x="312"/>
        <item h="1" x="313"/>
        <item h="1" x="314"/>
        <item h="1" x="315"/>
        <item h="1" x="316"/>
        <item h="1" x="317"/>
        <item h="1" x="318"/>
        <item h="1" x="31"/>
        <item h="1" x="319"/>
        <item h="1" x="320"/>
        <item h="1" x="321"/>
        <item h="1" x="322"/>
        <item h="1" x="323"/>
        <item h="1" x="324"/>
        <item h="1" x="325"/>
        <item h="1" x="326"/>
        <item h="1" x="327"/>
        <item h="1" x="328"/>
        <item h="1" x="32"/>
        <item h="1" x="329"/>
        <item h="1" x="330"/>
        <item h="1" x="331"/>
        <item h="1" x="332"/>
        <item h="1" x="333"/>
        <item h="1" x="334"/>
        <item h="1" x="335"/>
        <item h="1" x="336"/>
        <item h="1" x="337"/>
        <item h="1" x="338"/>
        <item h="1" x="33"/>
        <item h="1" x="339"/>
        <item h="1" x="340"/>
        <item h="1" x="341"/>
        <item h="1" x="342"/>
        <item h="1" x="343"/>
        <item h="1" x="344"/>
        <item h="1" x="345"/>
        <item h="1" x="346"/>
        <item h="1" x="347"/>
        <item h="1" x="348"/>
        <item h="1" x="34"/>
        <item h="1" x="349"/>
        <item h="1" x="350"/>
        <item h="1" x="351"/>
        <item h="1" x="352"/>
        <item h="1" x="353"/>
        <item h="1" x="354"/>
        <item h="1" x="355"/>
        <item h="1" x="356"/>
        <item h="1" x="357"/>
        <item h="1" x="358"/>
        <item h="1" x="35"/>
        <item h="1" x="359"/>
        <item h="1" x="360"/>
        <item h="1" x="361"/>
        <item h="1" x="362"/>
        <item h="1" x="363"/>
        <item h="1" x="364"/>
        <item h="1" x="365"/>
        <item h="1" x="366"/>
        <item h="1" x="367"/>
        <item h="1" x="368"/>
        <item h="1" x="36"/>
        <item h="1" x="369"/>
        <item h="1" x="370"/>
        <item h="1" x="371"/>
        <item h="1" x="372"/>
        <item h="1" x="373"/>
        <item h="1" x="374"/>
        <item h="1" x="375"/>
        <item h="1" x="376"/>
        <item h="1" x="377"/>
        <item h="1" x="378"/>
        <item h="1" x="37"/>
        <item h="1" x="379"/>
        <item h="1" x="380"/>
        <item h="1" x="381"/>
        <item h="1" x="382"/>
        <item h="1" x="383"/>
        <item h="1" x="384"/>
        <item h="1" x="385"/>
        <item h="1" x="386"/>
        <item h="1" x="387"/>
        <item h="1" x="388"/>
        <item h="1" x="38"/>
        <item h="1" x="389"/>
        <item h="1" x="390"/>
        <item h="1" x="391"/>
        <item h="1" x="392"/>
        <item h="1" x="393"/>
        <item h="1" x="394"/>
        <item h="1" x="395"/>
        <item h="1" x="396"/>
        <item h="1" x="397"/>
        <item h="1" x="398"/>
        <item h="1" x="3"/>
        <item h="1" x="39"/>
        <item h="1" x="399"/>
        <item h="1" x="400"/>
        <item h="1" x="401"/>
        <item h="1" x="402"/>
        <item h="1" x="403"/>
        <item h="1" x="404"/>
        <item h="1" x="405"/>
        <item h="1" x="406"/>
        <item h="1" x="407"/>
        <item h="1" x="408"/>
        <item h="1" x="40"/>
        <item h="1" x="409"/>
        <item h="1" x="410"/>
        <item h="1" x="411"/>
        <item h="1" x="412"/>
        <item h="1" x="413"/>
        <item h="1" x="414"/>
        <item h="1" x="415"/>
        <item h="1" x="416"/>
        <item h="1" x="417"/>
        <item h="1" x="418"/>
        <item h="1" x="41"/>
        <item h="1" x="419"/>
        <item h="1" x="420"/>
        <item h="1" x="421"/>
        <item h="1" x="422"/>
        <item h="1" x="423"/>
        <item h="1" x="424"/>
        <item h="1" x="425"/>
        <item h="1" x="426"/>
        <item h="1" x="427"/>
        <item h="1" x="428"/>
        <item h="1" x="42"/>
        <item h="1" x="429"/>
        <item h="1" x="430"/>
        <item h="1" x="431"/>
        <item h="1" x="432"/>
        <item h="1" x="433"/>
        <item h="1" x="434"/>
        <item h="1" x="435"/>
        <item h="1" x="436"/>
        <item h="1" x="437"/>
        <item h="1" x="438"/>
        <item h="1" x="43"/>
        <item h="1" x="439"/>
        <item h="1" x="440"/>
        <item h="1" x="441"/>
        <item h="1" x="442"/>
        <item h="1" x="443"/>
        <item h="1" x="444"/>
        <item h="1" x="445"/>
        <item h="1" x="446"/>
        <item h="1" x="447"/>
        <item h="1" x="448"/>
        <item h="1" x="44"/>
        <item h="1" x="449"/>
        <item h="1" x="450"/>
        <item h="1" x="451"/>
        <item h="1" x="452"/>
        <item h="1" x="453"/>
        <item h="1" x="454"/>
        <item h="1" x="455"/>
        <item h="1" x="456"/>
        <item h="1" x="457"/>
        <item h="1" x="458"/>
        <item h="1" x="45"/>
        <item h="1" x="459"/>
        <item h="1" x="460"/>
        <item h="1" x="461"/>
        <item h="1" x="462"/>
        <item h="1" x="463"/>
        <item h="1" x="464"/>
        <item h="1" x="465"/>
        <item h="1" x="466"/>
        <item h="1" x="467"/>
        <item h="1" x="468"/>
        <item h="1" x="46"/>
        <item h="1" x="469"/>
        <item h="1" x="470"/>
        <item h="1" x="471"/>
        <item h="1" x="472"/>
        <item h="1" x="473"/>
        <item h="1" x="474"/>
        <item h="1" x="475"/>
        <item h="1" x="476"/>
        <item h="1" x="477"/>
        <item h="1" x="478"/>
        <item h="1" x="47"/>
        <item h="1" x="479"/>
        <item h="1" x="480"/>
        <item h="1" x="481"/>
        <item h="1" x="482"/>
        <item h="1" x="483"/>
        <item h="1" x="484"/>
        <item h="1" x="485"/>
        <item h="1" x="486"/>
        <item h="1" x="487"/>
        <item h="1" x="488"/>
        <item h="1" x="48"/>
        <item h="1" x="489"/>
        <item h="1" x="490"/>
        <item h="1" x="491"/>
        <item h="1" x="492"/>
        <item h="1" x="493"/>
        <item h="1" x="494"/>
        <item h="1" x="495"/>
        <item h="1" x="496"/>
        <item h="1" x="497"/>
        <item h="1" x="498"/>
        <item h="1" x="4"/>
        <item h="1" x="49"/>
        <item h="1" x="499"/>
        <item h="1" x="50"/>
        <item h="1" x="51"/>
        <item h="1" x="52"/>
        <item h="1" x="53"/>
        <item h="1" x="54"/>
        <item h="1" x="55"/>
        <item h="1" x="56"/>
        <item h="1" x="57"/>
        <item h="1" x="58"/>
        <item h="1" x="5"/>
        <item h="1" x="59"/>
        <item h="1" x="60"/>
        <item h="1" x="61"/>
        <item h="1" x="62"/>
        <item h="1" x="63"/>
        <item h="1" x="64"/>
        <item h="1" x="65"/>
        <item h="1" x="66"/>
        <item h="1" x="67"/>
        <item h="1" x="68"/>
        <item h="1" x="6"/>
        <item h="1" x="69"/>
        <item h="1" x="70"/>
        <item h="1" x="71"/>
        <item h="1" x="72"/>
        <item h="1" x="73"/>
        <item h="1" x="74"/>
        <item h="1" x="75"/>
        <item h="1" x="76"/>
        <item h="1" x="77"/>
        <item h="1" x="78"/>
        <item h="1" x="7"/>
        <item h="1" x="79"/>
        <item h="1" x="80"/>
        <item h="1" x="81"/>
        <item h="1" x="82"/>
        <item h="1" x="83"/>
        <item h="1" x="84"/>
        <item h="1" x="85"/>
        <item h="1" x="86"/>
        <item h="1" x="87"/>
        <item h="1" x="88"/>
        <item h="1" x="8"/>
        <item h="1" x="89"/>
        <item h="1" x="90"/>
        <item h="1" x="91"/>
        <item h="1" x="92"/>
        <item h="1" x="93"/>
        <item h="1" x="94"/>
        <item h="1" x="95"/>
        <item h="1" x="96"/>
        <item h="1" x="97"/>
        <item h="1" x="98"/>
        <item t="default"/>
      </items>
    </pivotField>
    <pivotField dataField="1" showAll="0">
      <items count="46">
        <item x="40"/>
        <item x="26"/>
        <item x="28"/>
        <item x="11"/>
        <item x="10"/>
        <item x="24"/>
        <item x="27"/>
        <item x="13"/>
        <item x="5"/>
        <item x="29"/>
        <item x="33"/>
        <item x="15"/>
        <item x="0"/>
        <item x="44"/>
        <item x="9"/>
        <item x="30"/>
        <item x="25"/>
        <item x="39"/>
        <item x="31"/>
        <item x="23"/>
        <item x="41"/>
        <item x="8"/>
        <item x="14"/>
        <item x="16"/>
        <item x="42"/>
        <item x="18"/>
        <item x="7"/>
        <item x="17"/>
        <item x="38"/>
        <item x="36"/>
        <item x="6"/>
        <item x="22"/>
        <item x="20"/>
        <item x="1"/>
        <item x="35"/>
        <item x="21"/>
        <item x="4"/>
        <item x="3"/>
        <item x="12"/>
        <item x="37"/>
        <item x="43"/>
        <item x="19"/>
        <item x="34"/>
        <item x="32"/>
        <item x="2"/>
        <item t="default"/>
      </items>
    </pivotField>
    <pivotField axis="axisRow" showAll="0">
      <items count="3">
        <item x="1"/>
        <item x="0"/>
        <item t="default"/>
      </items>
    </pivotField>
    <pivotField showAll="0">
      <items count="4">
        <item x="1"/>
        <item x="2"/>
        <item x="0"/>
        <item t="default"/>
      </items>
    </pivotField>
    <pivotField dataField="1" showAll="0">
      <items count="245">
        <item x="215"/>
        <item x="20"/>
        <item x="11"/>
        <item x="30"/>
        <item x="158"/>
        <item x="110"/>
        <item x="165"/>
        <item x="48"/>
        <item x="234"/>
        <item x="180"/>
        <item x="52"/>
        <item x="95"/>
        <item x="157"/>
        <item x="232"/>
        <item x="81"/>
        <item x="57"/>
        <item x="53"/>
        <item x="10"/>
        <item x="93"/>
        <item x="69"/>
        <item x="83"/>
        <item x="87"/>
        <item x="138"/>
        <item x="64"/>
        <item x="212"/>
        <item x="36"/>
        <item x="210"/>
        <item x="51"/>
        <item x="112"/>
        <item x="141"/>
        <item x="197"/>
        <item x="103"/>
        <item x="160"/>
        <item x="242"/>
        <item x="82"/>
        <item x="28"/>
        <item x="193"/>
        <item x="128"/>
        <item x="38"/>
        <item x="152"/>
        <item x="140"/>
        <item x="144"/>
        <item x="167"/>
        <item x="131"/>
        <item x="6"/>
        <item x="91"/>
        <item x="79"/>
        <item x="34"/>
        <item x="77"/>
        <item x="222"/>
        <item x="26"/>
        <item x="169"/>
        <item x="42"/>
        <item x="35"/>
        <item x="170"/>
        <item x="15"/>
        <item x="9"/>
        <item x="105"/>
        <item x="72"/>
        <item x="40"/>
        <item x="67"/>
        <item x="73"/>
        <item x="1"/>
        <item x="164"/>
        <item x="5"/>
        <item x="56"/>
        <item x="22"/>
        <item x="156"/>
        <item x="186"/>
        <item x="230"/>
        <item x="166"/>
        <item x="130"/>
        <item x="12"/>
        <item x="227"/>
        <item x="153"/>
        <item x="179"/>
        <item x="214"/>
        <item x="37"/>
        <item x="191"/>
        <item x="125"/>
        <item x="200"/>
        <item x="203"/>
        <item x="106"/>
        <item x="99"/>
        <item x="118"/>
        <item x="55"/>
        <item x="213"/>
        <item x="70"/>
        <item x="54"/>
        <item x="4"/>
        <item x="98"/>
        <item x="21"/>
        <item x="209"/>
        <item x="175"/>
        <item x="198"/>
        <item x="71"/>
        <item x="206"/>
        <item x="63"/>
        <item x="33"/>
        <item x="195"/>
        <item x="46"/>
        <item x="168"/>
        <item x="104"/>
        <item x="74"/>
        <item x="31"/>
        <item x="39"/>
        <item x="205"/>
        <item x="58"/>
        <item x="62"/>
        <item x="78"/>
        <item x="178"/>
        <item x="49"/>
        <item x="13"/>
        <item x="129"/>
        <item x="142"/>
        <item x="68"/>
        <item x="75"/>
        <item x="173"/>
        <item x="172"/>
        <item x="60"/>
        <item x="182"/>
        <item x="185"/>
        <item x="89"/>
        <item x="117"/>
        <item x="187"/>
        <item x="65"/>
        <item x="132"/>
        <item x="19"/>
        <item x="194"/>
        <item x="123"/>
        <item x="216"/>
        <item x="218"/>
        <item x="190"/>
        <item x="183"/>
        <item x="18"/>
        <item x="111"/>
        <item x="59"/>
        <item x="32"/>
        <item x="189"/>
        <item x="135"/>
        <item x="199"/>
        <item x="228"/>
        <item x="224"/>
        <item x="44"/>
        <item x="8"/>
        <item x="174"/>
        <item x="143"/>
        <item x="107"/>
        <item x="229"/>
        <item x="121"/>
        <item x="159"/>
        <item x="231"/>
        <item x="217"/>
        <item x="86"/>
        <item x="225"/>
        <item x="235"/>
        <item x="241"/>
        <item x="76"/>
        <item x="45"/>
        <item x="108"/>
        <item x="114"/>
        <item x="146"/>
        <item x="149"/>
        <item x="102"/>
        <item x="133"/>
        <item x="3"/>
        <item x="101"/>
        <item x="29"/>
        <item x="145"/>
        <item x="236"/>
        <item x="184"/>
        <item x="136"/>
        <item x="220"/>
        <item x="100"/>
        <item x="88"/>
        <item x="94"/>
        <item x="109"/>
        <item x="126"/>
        <item x="155"/>
        <item x="188"/>
        <item x="14"/>
        <item x="221"/>
        <item x="24"/>
        <item x="120"/>
        <item x="223"/>
        <item x="61"/>
        <item x="25"/>
        <item x="0"/>
        <item x="139"/>
        <item x="162"/>
        <item x="202"/>
        <item x="151"/>
        <item x="181"/>
        <item x="16"/>
        <item x="119"/>
        <item x="90"/>
        <item x="2"/>
        <item x="47"/>
        <item x="240"/>
        <item x="27"/>
        <item x="41"/>
        <item x="243"/>
        <item x="66"/>
        <item x="171"/>
        <item x="208"/>
        <item x="127"/>
        <item x="219"/>
        <item x="204"/>
        <item x="84"/>
        <item x="161"/>
        <item x="116"/>
        <item x="97"/>
        <item x="85"/>
        <item x="150"/>
        <item x="211"/>
        <item x="147"/>
        <item x="207"/>
        <item x="96"/>
        <item x="177"/>
        <item x="176"/>
        <item x="80"/>
        <item x="7"/>
        <item x="154"/>
        <item x="238"/>
        <item x="163"/>
        <item x="148"/>
        <item x="239"/>
        <item x="226"/>
        <item x="237"/>
        <item x="134"/>
        <item x="92"/>
        <item x="124"/>
        <item x="43"/>
        <item x="115"/>
        <item x="122"/>
        <item x="192"/>
        <item x="23"/>
        <item x="196"/>
        <item x="50"/>
        <item x="17"/>
        <item x="113"/>
        <item x="233"/>
        <item x="137"/>
        <item x="201"/>
        <item t="default"/>
      </items>
    </pivotField>
    <pivotField axis="axisRow" showAll="0">
      <items count="5">
        <item x="0"/>
        <item x="2"/>
        <item x="3"/>
        <item x="1"/>
        <item t="default"/>
      </items>
    </pivotField>
  </pivotFields>
  <rowFields count="2">
    <field x="6"/>
    <field x="3"/>
  </rowFields>
  <rowItems count="13">
    <i>
      <x/>
    </i>
    <i r="1">
      <x/>
    </i>
    <i r="1">
      <x v="1"/>
    </i>
    <i>
      <x v="1"/>
    </i>
    <i r="1">
      <x/>
    </i>
    <i r="1">
      <x v="1"/>
    </i>
    <i>
      <x v="2"/>
    </i>
    <i r="1">
      <x/>
    </i>
    <i r="1">
      <x v="1"/>
    </i>
    <i>
      <x v="3"/>
    </i>
    <i r="1">
      <x/>
    </i>
    <i r="1">
      <x v="1"/>
    </i>
    <i t="grand">
      <x/>
    </i>
  </rowItems>
  <colFields count="1">
    <field x="-2"/>
  </colFields>
  <colItems count="3">
    <i>
      <x/>
    </i>
    <i i="1">
      <x v="1"/>
    </i>
    <i i="2">
      <x v="2"/>
    </i>
  </colItems>
  <dataFields count="3">
    <dataField name="Count of Customer_ID" fld="0" subtotal="count" baseField="0" baseItem="0"/>
    <dataField name="Sum of Credit Score" fld="5" baseField="0" baseItem="0"/>
    <dataField name="Sum of Age" fld="2" baseField="0" baseItem="0"/>
  </dataFields>
  <chartFormats count="6">
    <chartFormat chart="2" format="11"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1"/>
          </reference>
        </references>
      </pivotArea>
    </chartFormat>
    <chartFormat chart="2" format="13" series="1">
      <pivotArea type="data" outline="0" fieldPosition="0">
        <references count="1">
          <reference field="4294967294" count="1" selected="0">
            <x v="2"/>
          </reference>
        </references>
      </pivotArea>
    </chartFormat>
    <chartFormat chart="4" format="17" series="1">
      <pivotArea type="data" outline="0" fieldPosition="0">
        <references count="1">
          <reference field="4294967294" count="1" selected="0">
            <x v="0"/>
          </reference>
        </references>
      </pivotArea>
    </chartFormat>
    <chartFormat chart="4" format="18" series="1">
      <pivotArea type="data" outline="0" fieldPosition="0">
        <references count="1">
          <reference field="4294967294" count="1" selected="0">
            <x v="1"/>
          </reference>
        </references>
      </pivotArea>
    </chartFormat>
    <chartFormat chart="4" format="1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3196E3-1688-4E66-AF78-BD1BB2DA9676}"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C43" firstHeaderRow="0" firstDataRow="1" firstDataCol="1"/>
  <pivotFields count="4">
    <pivotField dataField="1" showAll="0">
      <items count="11">
        <item x="0"/>
        <item x="1"/>
        <item x="2"/>
        <item x="3"/>
        <item x="4"/>
        <item x="5"/>
        <item x="6"/>
        <item x="7"/>
        <item x="8"/>
        <item x="9"/>
        <item t="default"/>
      </items>
    </pivotField>
    <pivotField showAll="0">
      <items count="11">
        <item x="0"/>
        <item x="9"/>
        <item x="1"/>
        <item x="2"/>
        <item x="3"/>
        <item x="4"/>
        <item x="5"/>
        <item x="6"/>
        <item x="7"/>
        <item x="8"/>
        <item t="default"/>
      </items>
    </pivotField>
    <pivotField axis="axisRow" showAll="0">
      <items count="5">
        <item x="0"/>
        <item x="3"/>
        <item x="2"/>
        <item x="1"/>
        <item t="default"/>
      </items>
    </pivotField>
    <pivotField dataField="1" showAll="0">
      <items count="11">
        <item x="9"/>
        <item x="2"/>
        <item x="0"/>
        <item x="3"/>
        <item x="1"/>
        <item x="5"/>
        <item x="7"/>
        <item x="8"/>
        <item x="4"/>
        <item x="6"/>
        <item t="default"/>
      </items>
    </pivotField>
  </pivotFields>
  <rowFields count="1">
    <field x="2"/>
  </rowFields>
  <rowItems count="5">
    <i>
      <x/>
    </i>
    <i>
      <x v="1"/>
    </i>
    <i>
      <x v="2"/>
    </i>
    <i>
      <x v="3"/>
    </i>
    <i t="grand">
      <x/>
    </i>
  </rowItems>
  <colFields count="1">
    <field x="-2"/>
  </colFields>
  <colItems count="2">
    <i>
      <x/>
    </i>
    <i i="1">
      <x v="1"/>
    </i>
  </colItems>
  <dataFields count="2">
    <dataField name="Count of Branch ID" fld="0" subtotal="count" baseField="0" baseItem="0"/>
    <dataField name="Sum of Target Deposit Goal" fld="3"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13789EDB-3F81-4AAD-8B59-39DA611E7964}" sourceName="Age">
  <pivotTables>
    <pivotTable tabId="11" name="PivotTable2"/>
  </pivotTables>
  <data>
    <tabular pivotCacheId="1229741523">
      <items count="45">
        <i x="40" s="1"/>
        <i x="26" s="1"/>
        <i x="28" s="1"/>
        <i x="11" s="1"/>
        <i x="10" s="1"/>
        <i x="24" s="1"/>
        <i x="27" s="1"/>
        <i x="13" s="1"/>
        <i x="5" s="1"/>
        <i x="29" s="1"/>
        <i x="33" s="1"/>
        <i x="15" s="1"/>
        <i x="0" s="1"/>
        <i x="44" s="1"/>
        <i x="9" s="1"/>
        <i x="30" s="1"/>
        <i x="25" s="1"/>
        <i x="39" s="1"/>
        <i x="31" s="1"/>
        <i x="23" s="1"/>
        <i x="41" s="1"/>
        <i x="8" s="1"/>
        <i x="14" s="1"/>
        <i x="16" s="1"/>
        <i x="42" s="1"/>
        <i x="18" s="1"/>
        <i x="7" s="1"/>
        <i x="17" s="1"/>
        <i x="38" s="1"/>
        <i x="36" s="1"/>
        <i x="6" s="1"/>
        <i x="22" s="1"/>
        <i x="20" s="1"/>
        <i x="1" s="1"/>
        <i x="35" s="1"/>
        <i x="21" s="1"/>
        <i x="4" s="1"/>
        <i x="3" s="1"/>
        <i x="12" s="1"/>
        <i x="37" s="1"/>
        <i x="43" s="1"/>
        <i x="19" s="1"/>
        <i x="34" s="1"/>
        <i x="32"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56D7996-2605-41BC-963D-AB1FD33798EF}" sourceName="Gender">
  <pivotTables>
    <pivotTable tabId="11" name="PivotTable2"/>
  </pivotTables>
  <data>
    <tabular pivotCacheId="122974152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Score" xr10:uid="{3C4CCFA8-DE58-4280-AA4C-8DA13B085137}" sourceName="Credit Score">
  <pivotTables>
    <pivotTable tabId="11" name="PivotTable2"/>
  </pivotTables>
  <data>
    <tabular pivotCacheId="1229741523">
      <items count="244">
        <i x="215" s="1"/>
        <i x="20" s="1"/>
        <i x="11" s="1"/>
        <i x="30" s="1"/>
        <i x="158" s="1"/>
        <i x="110" s="1"/>
        <i x="165" s="1"/>
        <i x="48" s="1"/>
        <i x="234" s="1"/>
        <i x="180" s="1"/>
        <i x="52" s="1"/>
        <i x="95" s="1"/>
        <i x="157" s="1"/>
        <i x="232" s="1"/>
        <i x="81" s="1"/>
        <i x="57" s="1"/>
        <i x="53" s="1"/>
        <i x="10" s="1"/>
        <i x="93" s="1"/>
        <i x="69" s="1"/>
        <i x="83" s="1"/>
        <i x="87" s="1"/>
        <i x="138" s="1"/>
        <i x="64" s="1"/>
        <i x="212" s="1"/>
        <i x="36" s="1"/>
        <i x="210" s="1"/>
        <i x="51" s="1"/>
        <i x="112" s="1"/>
        <i x="141" s="1"/>
        <i x="197" s="1"/>
        <i x="103" s="1"/>
        <i x="160" s="1"/>
        <i x="242" s="1"/>
        <i x="82" s="1"/>
        <i x="28" s="1"/>
        <i x="193" s="1"/>
        <i x="128" s="1"/>
        <i x="38" s="1"/>
        <i x="152" s="1"/>
        <i x="140" s="1"/>
        <i x="144" s="1"/>
        <i x="167" s="1"/>
        <i x="131" s="1"/>
        <i x="6" s="1"/>
        <i x="91" s="1"/>
        <i x="79" s="1"/>
        <i x="34" s="1"/>
        <i x="77" s="1"/>
        <i x="222" s="1"/>
        <i x="26" s="1"/>
        <i x="169" s="1"/>
        <i x="42" s="1"/>
        <i x="35" s="1"/>
        <i x="170" s="1"/>
        <i x="15" s="1"/>
        <i x="9" s="1"/>
        <i x="105" s="1"/>
        <i x="72" s="1"/>
        <i x="40" s="1"/>
        <i x="67" s="1"/>
        <i x="73" s="1"/>
        <i x="1" s="1"/>
        <i x="164" s="1"/>
        <i x="5" s="1"/>
        <i x="56" s="1"/>
        <i x="22" s="1"/>
        <i x="156" s="1"/>
        <i x="186" s="1"/>
        <i x="230" s="1"/>
        <i x="166" s="1"/>
        <i x="130" s="1"/>
        <i x="12" s="1"/>
        <i x="227" s="1"/>
        <i x="153" s="1"/>
        <i x="179" s="1"/>
        <i x="214" s="1"/>
        <i x="37" s="1"/>
        <i x="191" s="1"/>
        <i x="125" s="1"/>
        <i x="200" s="1"/>
        <i x="203" s="1"/>
        <i x="106" s="1"/>
        <i x="99" s="1"/>
        <i x="118" s="1"/>
        <i x="55" s="1"/>
        <i x="213" s="1"/>
        <i x="70" s="1"/>
        <i x="54" s="1"/>
        <i x="4" s="1"/>
        <i x="98" s="1"/>
        <i x="21" s="1"/>
        <i x="209" s="1"/>
        <i x="175" s="1"/>
        <i x="198" s="1"/>
        <i x="71" s="1"/>
        <i x="206" s="1"/>
        <i x="63" s="1"/>
        <i x="33" s="1"/>
        <i x="195" s="1"/>
        <i x="46" s="1"/>
        <i x="168" s="1"/>
        <i x="104" s="1"/>
        <i x="74" s="1"/>
        <i x="31" s="1"/>
        <i x="39" s="1"/>
        <i x="205" s="1"/>
        <i x="58" s="1"/>
        <i x="62" s="1"/>
        <i x="78" s="1"/>
        <i x="178" s="1"/>
        <i x="49" s="1"/>
        <i x="13" s="1"/>
        <i x="129" s="1"/>
        <i x="142" s="1"/>
        <i x="68" s="1"/>
        <i x="75" s="1"/>
        <i x="173" s="1"/>
        <i x="172" s="1"/>
        <i x="60" s="1"/>
        <i x="182" s="1"/>
        <i x="185" s="1"/>
        <i x="89" s="1"/>
        <i x="117" s="1"/>
        <i x="187" s="1"/>
        <i x="65" s="1"/>
        <i x="132" s="1"/>
        <i x="19" s="1"/>
        <i x="194" s="1"/>
        <i x="123" s="1"/>
        <i x="216" s="1"/>
        <i x="218" s="1"/>
        <i x="190" s="1"/>
        <i x="183" s="1"/>
        <i x="18" s="1"/>
        <i x="111" s="1"/>
        <i x="59" s="1"/>
        <i x="32" s="1"/>
        <i x="189" s="1"/>
        <i x="135" s="1"/>
        <i x="199" s="1"/>
        <i x="228" s="1"/>
        <i x="224" s="1"/>
        <i x="44" s="1"/>
        <i x="8" s="1"/>
        <i x="174" s="1"/>
        <i x="143" s="1"/>
        <i x="107" s="1"/>
        <i x="229" s="1"/>
        <i x="121" s="1"/>
        <i x="159" s="1"/>
        <i x="231" s="1"/>
        <i x="217" s="1"/>
        <i x="86" s="1"/>
        <i x="225" s="1"/>
        <i x="235" s="1"/>
        <i x="241" s="1"/>
        <i x="76" s="1"/>
        <i x="45" s="1"/>
        <i x="108" s="1"/>
        <i x="114" s="1"/>
        <i x="146" s="1"/>
        <i x="149" s="1"/>
        <i x="102" s="1"/>
        <i x="133" s="1"/>
        <i x="3" s="1"/>
        <i x="101" s="1"/>
        <i x="29" s="1"/>
        <i x="145" s="1"/>
        <i x="236" s="1"/>
        <i x="184" s="1"/>
        <i x="136" s="1"/>
        <i x="220" s="1"/>
        <i x="100" s="1"/>
        <i x="88" s="1"/>
        <i x="94" s="1"/>
        <i x="109" s="1"/>
        <i x="126" s="1"/>
        <i x="155" s="1"/>
        <i x="188" s="1"/>
        <i x="14" s="1"/>
        <i x="221" s="1"/>
        <i x="24" s="1"/>
        <i x="120" s="1"/>
        <i x="223" s="1"/>
        <i x="61" s="1"/>
        <i x="25" s="1"/>
        <i x="0" s="1"/>
        <i x="139" s="1"/>
        <i x="162" s="1"/>
        <i x="202" s="1"/>
        <i x="151" s="1"/>
        <i x="181" s="1"/>
        <i x="16" s="1"/>
        <i x="119" s="1"/>
        <i x="90" s="1"/>
        <i x="2" s="1"/>
        <i x="47" s="1"/>
        <i x="240" s="1"/>
        <i x="27" s="1"/>
        <i x="41" s="1"/>
        <i x="243" s="1"/>
        <i x="66" s="1"/>
        <i x="171" s="1"/>
        <i x="208" s="1"/>
        <i x="127" s="1"/>
        <i x="219" s="1"/>
        <i x="204" s="1"/>
        <i x="84" s="1"/>
        <i x="161" s="1"/>
        <i x="116" s="1"/>
        <i x="97" s="1"/>
        <i x="85" s="1"/>
        <i x="150" s="1"/>
        <i x="211" s="1"/>
        <i x="147" s="1"/>
        <i x="207" s="1"/>
        <i x="96" s="1"/>
        <i x="177" s="1"/>
        <i x="176" s="1"/>
        <i x="80" s="1"/>
        <i x="7" s="1"/>
        <i x="154" s="1"/>
        <i x="238" s="1"/>
        <i x="163" s="1"/>
        <i x="148" s="1"/>
        <i x="239" s="1"/>
        <i x="226" s="1"/>
        <i x="237" s="1"/>
        <i x="134" s="1"/>
        <i x="92" s="1"/>
        <i x="124" s="1"/>
        <i x="43" s="1"/>
        <i x="115" s="1"/>
        <i x="122" s="1"/>
        <i x="192" s="1"/>
        <i x="23" s="1"/>
        <i x="196" s="1"/>
        <i x="50" s="1"/>
        <i x="17" s="1"/>
        <i x="113" s="1"/>
        <i x="233" s="1"/>
        <i x="137" s="1"/>
        <i x="20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C1916F33-10CC-4D53-A9FB-F56427483B3A}" sourceName="Customer_ID">
  <pivotTables>
    <pivotTable tabId="11" name="PivotTable2"/>
  </pivotTables>
  <data>
    <tabular pivotCacheId="1229741523">
      <items count="5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Category" xr10:uid="{6C84DD88-B3FD-4528-B15D-AAA3E3CDFCD9}" sourceName="Credit Category">
  <pivotTables>
    <pivotTable tabId="11" name="PivotTable2"/>
  </pivotTables>
  <data>
    <tabular pivotCacheId="1229741523">
      <items count="4">
        <i x="0" s="1"/>
        <i x="2"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1" xr10:uid="{6F192817-1C9B-450E-9991-D0030A528572}" sourceName="Customer ID">
  <pivotTables>
    <pivotTable tabId="11" name="PivotTable3"/>
  </pivotTables>
  <data>
    <tabular pivotCacheId="121653684">
      <items count="309">
        <i x="142" s="1"/>
        <i x="244" s="1"/>
        <i x="6" s="1"/>
        <i x="67" s="1"/>
        <i x="307" s="1"/>
        <i x="84" s="1"/>
        <i x="137" s="1"/>
        <i x="43" s="1"/>
        <i x="23" s="1"/>
        <i x="115" s="1"/>
        <i x="17" s="1"/>
        <i x="128" s="1"/>
        <i x="1" s="1"/>
        <i x="253" s="1"/>
        <i x="279" s="1"/>
        <i x="241" s="1"/>
        <i x="297" s="1"/>
        <i x="147" s="1"/>
        <i x="281" s="1"/>
        <i x="255" s="1"/>
        <i x="11" s="1"/>
        <i x="31" s="1"/>
        <i x="205" s="1"/>
        <i x="57" s="1"/>
        <i x="257" s="1"/>
        <i x="230" s="1"/>
        <i x="145" s="1"/>
        <i x="78" s="1"/>
        <i x="97" s="1"/>
        <i x="157" s="1"/>
        <i x="9" s="1"/>
        <i x="243" s="1"/>
        <i x="198" s="1"/>
        <i x="238" s="1"/>
        <i x="197" s="1"/>
        <i x="208" s="1"/>
        <i x="81" s="1"/>
        <i x="215" s="1"/>
        <i x="36" s="1"/>
        <i x="10" s="1"/>
        <i x="234" s="1"/>
        <i x="202" s="1"/>
        <i x="42" s="1"/>
        <i x="287" s="1"/>
        <i x="283" s="1"/>
        <i x="270" s="1"/>
        <i x="118" s="1"/>
        <i x="194" s="1"/>
        <i x="162" s="1"/>
        <i x="276" s="1"/>
        <i x="223" s="1"/>
        <i x="299" s="1"/>
        <i x="22" s="1"/>
        <i x="236" s="1"/>
        <i x="108" s="1"/>
        <i x="231" s="1"/>
        <i x="2" s="1"/>
        <i x="87" s="1"/>
        <i x="20" s="1"/>
        <i x="53" s="1"/>
        <i x="227" s="1"/>
        <i x="114" s="1"/>
        <i x="127" s="1"/>
        <i x="219" s="1"/>
        <i x="144" s="1"/>
        <i x="80" s="1"/>
        <i x="64" s="1"/>
        <i x="256" s="1"/>
        <i x="228" s="1"/>
        <i x="119" s="1"/>
        <i x="267" s="1"/>
        <i x="132" s="1"/>
        <i x="204" s="1"/>
        <i x="168" s="1"/>
        <i x="35" s="1"/>
        <i x="33" s="1"/>
        <i x="21" s="1"/>
        <i x="63" s="1"/>
        <i x="112" s="1"/>
        <i x="151" s="1"/>
        <i x="68" s="1"/>
        <i x="191" s="1"/>
        <i x="117" s="1"/>
        <i x="110" s="1"/>
        <i x="182" s="1"/>
        <i x="71" s="1"/>
        <i x="175" s="1"/>
        <i x="161" s="1"/>
        <i x="103" s="1"/>
        <i x="275" s="1"/>
        <i x="120" s="1"/>
        <i x="105" s="1"/>
        <i x="90" s="1"/>
        <i x="301" s="1"/>
        <i x="300" s="1"/>
        <i x="8" s="1"/>
        <i x="172" s="1"/>
        <i x="160" s="1"/>
        <i x="295" s="1"/>
        <i x="174" s="1"/>
        <i x="62" s="1"/>
        <i x="266" s="1"/>
        <i x="159" s="1"/>
        <i x="92" s="1"/>
        <i x="14" s="1"/>
        <i x="74" s="1"/>
        <i x="179" s="1"/>
        <i x="280" s="1"/>
        <i x="268" s="1"/>
        <i x="150" s="1"/>
        <i x="192" s="1"/>
        <i x="239" s="1"/>
        <i x="190" s="1"/>
        <i x="69" s="1"/>
        <i x="76" s="1"/>
        <i x="298" s="1"/>
        <i x="212" s="1"/>
        <i x="122" s="1"/>
        <i x="79" s="1"/>
        <i x="39" s="1"/>
        <i x="248" s="1"/>
        <i x="70" s="1"/>
        <i x="195" s="1"/>
        <i x="181" s="1"/>
        <i x="28" s="1"/>
        <i x="246" s="1"/>
        <i x="277" s="1"/>
        <i x="265" s="1"/>
        <i x="47" s="1"/>
        <i x="48" s="1"/>
        <i x="0" s="1"/>
        <i x="225" s="1"/>
        <i x="101" s="1"/>
        <i x="186" s="1"/>
        <i x="180" s="1"/>
        <i x="125" s="1"/>
        <i x="178" s="1"/>
        <i x="12" s="1"/>
        <i x="293" s="1"/>
        <i x="201" s="1"/>
        <i x="269" s="1"/>
        <i x="188" s="1"/>
        <i x="259" s="1"/>
        <i x="41" s="1"/>
        <i x="116" s="1"/>
        <i x="305" s="1"/>
        <i x="209" s="1"/>
        <i x="88" s="1"/>
        <i x="163" s="1"/>
        <i x="52" s="1"/>
        <i x="233" s="1"/>
        <i x="273" s="1"/>
        <i x="185" s="1"/>
        <i x="286" s="1"/>
        <i x="263" s="1"/>
        <i x="224" s="1"/>
        <i x="158" s="1"/>
        <i x="216" s="1"/>
        <i x="93" s="1"/>
        <i x="183" s="1"/>
        <i x="129" s="1"/>
        <i x="24" s="1"/>
        <i x="16" s="1"/>
        <i x="274" s="1"/>
        <i x="94" s="1"/>
        <i x="77" s="1"/>
        <i x="165" s="1"/>
        <i x="155" s="1"/>
        <i x="304" s="1"/>
        <i x="83" s="1"/>
        <i x="152" s="1"/>
        <i x="143" s="1"/>
        <i x="126" s="1"/>
        <i x="252" s="1"/>
        <i x="272" s="1"/>
        <i x="113" s="1"/>
        <i x="75" s="1"/>
        <i x="26" s="1"/>
        <i x="235" s="1"/>
        <i x="131" s="1"/>
        <i x="285" s="1"/>
        <i x="65" s="1"/>
        <i x="50" s="1"/>
        <i x="260" s="1"/>
        <i x="303" s="1"/>
        <i x="140" s="1"/>
        <i x="109" s="1"/>
        <i x="134" s="1"/>
        <i x="51" s="1"/>
        <i x="133" s="1"/>
        <i x="211" s="1"/>
        <i x="282" s="1"/>
        <i x="27" s="1"/>
        <i x="19" s="1"/>
        <i x="218" s="1"/>
        <i x="45" s="1"/>
        <i x="146" s="1"/>
        <i x="292" s="1"/>
        <i x="291" s="1"/>
        <i x="164" s="1"/>
        <i x="32" s="1"/>
        <i x="249" s="1"/>
        <i x="306" s="1"/>
        <i x="37" s="1"/>
        <i x="184" s="1"/>
        <i x="138" s="1"/>
        <i x="199" s="1"/>
        <i x="261" s="1"/>
        <i x="288" s="1"/>
        <i x="289" s="1"/>
        <i x="149" s="1"/>
        <i x="173" s="1"/>
        <i x="254" s="1"/>
        <i x="222" s="1"/>
        <i x="200" s="1"/>
        <i x="25" s="1"/>
        <i x="29" s="1"/>
        <i x="98" s="1"/>
        <i x="5" s="1"/>
        <i x="86" s="1"/>
        <i x="4" s="1"/>
        <i x="40" s="1"/>
        <i x="99" s="1"/>
        <i x="141" s="1"/>
        <i x="278" s="1"/>
        <i x="54" s="1"/>
        <i x="171" s="1"/>
        <i x="170" s="1"/>
        <i x="217" s="1"/>
        <i x="55" s="1"/>
        <i x="148" s="1"/>
        <i x="95" s="1"/>
        <i x="58" s="1"/>
        <i x="96" s="1"/>
        <i x="271" s="1"/>
        <i x="242" s="1"/>
        <i x="136" s="1"/>
        <i x="34" s="1"/>
        <i x="60" s="1"/>
        <i x="38" s="1"/>
        <i x="3" s="1"/>
        <i x="61" s="1"/>
        <i x="73" s="1"/>
        <i x="107" s="1"/>
        <i x="203" s="1"/>
        <i x="102" s="1"/>
        <i x="166" s="1"/>
        <i x="89" s="1"/>
        <i x="213" s="1"/>
        <i x="135" s="1"/>
        <i x="177" s="1"/>
        <i x="207" s="1"/>
        <i x="167" s="1"/>
        <i x="193" s="1"/>
        <i x="187" s="1"/>
        <i x="290" s="1"/>
        <i x="18" s="1"/>
        <i x="214" s="1"/>
        <i x="7" s="1"/>
        <i x="156" s="1"/>
        <i x="139" s="1"/>
        <i x="226" s="1"/>
        <i x="104" s="1"/>
        <i x="123" s="1"/>
        <i x="250" s="1"/>
        <i x="56" s="1"/>
        <i x="124" s="1"/>
        <i x="262" s="1"/>
        <i x="106" s="1"/>
        <i x="308" s="1"/>
        <i x="258" s="1"/>
        <i x="46" s="1"/>
        <i x="59" s="1"/>
        <i x="240" s="1"/>
        <i x="169" s="1"/>
        <i x="44" s="1"/>
        <i x="176" s="1"/>
        <i x="100" s="1"/>
        <i x="154" s="1"/>
        <i x="206" s="1"/>
        <i x="296" s="1"/>
        <i x="15" s="1"/>
        <i x="284" s="1"/>
        <i x="111" s="1"/>
        <i x="196" s="1"/>
        <i x="237" s="1"/>
        <i x="121" s="1"/>
        <i x="153" s="1"/>
        <i x="66" s="1"/>
        <i x="13" s="1"/>
        <i x="210" s="1"/>
        <i x="264" s="1"/>
        <i x="91" s="1"/>
        <i x="251" s="1"/>
        <i x="221" s="1"/>
        <i x="49" s="1"/>
        <i x="232" s="1"/>
        <i x="189" s="1"/>
        <i x="85" s="1"/>
        <i x="247" s="1"/>
        <i x="229" s="1"/>
        <i x="72" s="1"/>
        <i x="294" s="1"/>
        <i x="245" s="1"/>
        <i x="302" s="1"/>
        <i x="82" s="1"/>
        <i x="30" s="1"/>
        <i x="130" s="1"/>
        <i x="22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Amount" xr10:uid="{0EA237F3-240F-4478-9607-F39281B4F9CC}" sourceName="Loan Amount">
  <pivotTables>
    <pivotTable tabId="11" name="PivotTable3"/>
  </pivotTables>
  <data>
    <tabular pivotCacheId="121653684">
      <items count="90">
        <i x="4" s="1"/>
        <i x="33" s="1"/>
        <i x="55" s="1"/>
        <i x="26" s="1"/>
        <i x="60" s="1"/>
        <i x="11" s="1"/>
        <i x="16" s="1"/>
        <i x="28" s="1"/>
        <i x="34" s="1"/>
        <i x="70" s="1"/>
        <i x="45" s="1"/>
        <i x="35" s="1"/>
        <i x="10" s="1"/>
        <i x="47" s="1"/>
        <i x="61" s="1"/>
        <i x="58" s="1"/>
        <i x="62" s="1"/>
        <i x="67" s="1"/>
        <i x="79" s="1"/>
        <i x="54" s="1"/>
        <i x="31" s="1"/>
        <i x="87" s="1"/>
        <i x="20" s="1"/>
        <i x="74" s="1"/>
        <i x="80" s="1"/>
        <i x="42" s="1"/>
        <i x="15" s="1"/>
        <i x="52" s="1"/>
        <i x="49" s="1"/>
        <i x="63" s="1"/>
        <i x="25" s="1"/>
        <i x="41" s="1"/>
        <i x="76" s="1"/>
        <i x="72" s="1"/>
        <i x="36" s="1"/>
        <i x="37" s="1"/>
        <i x="71" s="1"/>
        <i x="50" s="1"/>
        <i x="6" s="1"/>
        <i x="66" s="1"/>
        <i x="77" s="1"/>
        <i x="7" s="1"/>
        <i x="38" s="1"/>
        <i x="57" s="1"/>
        <i x="64" s="1"/>
        <i x="82" s="1"/>
        <i x="18" s="1"/>
        <i x="1" s="1"/>
        <i x="53" s="1"/>
        <i x="24" s="1"/>
        <i x="51" s="1"/>
        <i x="56" s="1"/>
        <i x="0" s="1"/>
        <i x="59" s="1"/>
        <i x="81" s="1"/>
        <i x="85" s="1"/>
        <i x="75" s="1"/>
        <i x="21" s="1"/>
        <i x="86" s="1"/>
        <i x="39" s="1"/>
        <i x="19" s="1"/>
        <i x="43" s="1"/>
        <i x="27" s="1"/>
        <i x="32" s="1"/>
        <i x="17" s="1"/>
        <i x="14" s="1"/>
        <i x="3" s="1"/>
        <i x="68" s="1"/>
        <i x="48" s="1"/>
        <i x="30" s="1"/>
        <i x="5" s="1"/>
        <i x="88" s="1"/>
        <i x="78" s="1"/>
        <i x="8" s="1"/>
        <i x="13" s="1"/>
        <i x="46" s="1"/>
        <i x="40" s="1"/>
        <i x="29" s="1"/>
        <i x="22" s="1"/>
        <i x="89" s="1"/>
        <i x="12" s="1"/>
        <i x="65" s="1"/>
        <i x="73" s="1"/>
        <i x="23" s="1"/>
        <i x="83" s="1"/>
        <i x="9" s="1"/>
        <i x="84" s="1"/>
        <i x="2" s="1"/>
        <i x="69" s="1"/>
        <i x="4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ID" xr10:uid="{45211833-A87A-4455-B81E-27FB7FBEEDC5}" sourceName="Loan ID">
  <pivotTables>
    <pivotTable tabId="11" name="PivotTable3"/>
  </pivotTables>
  <data>
    <tabular pivotCacheId="121653684">
      <items count="5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Product" xr10:uid="{3AF25EA2-3CF5-409D-AABB-6A7AFA4F3302}" sourceName="Loan Product">
  <pivotTables>
    <pivotTable tabId="11" name="PivotTable3"/>
  </pivotTables>
  <data>
    <tabular pivotCacheId="121653684">
      <items count="4">
        <i x="1" s="1"/>
        <i x="0" s="1"/>
        <i x="3"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TI" xr10:uid="{CE17656F-3FF6-4586-979C-CF62847BF391}" sourceName="DTI">
  <pivotTables>
    <pivotTable tabId="11" name="PivotTable3"/>
  </pivotTables>
  <data>
    <tabular pivotCacheId="121653684">
      <items count="41">
        <i x="24" s="1"/>
        <i x="35" s="1"/>
        <i x="33" s="1"/>
        <i x="25" s="1"/>
        <i x="36" s="1"/>
        <i x="17" s="1"/>
        <i x="5" s="1"/>
        <i x="16" s="1"/>
        <i x="30" s="1"/>
        <i x="9" s="1"/>
        <i x="32" s="1"/>
        <i x="20" s="1"/>
        <i x="28" s="1"/>
        <i x="15" s="1"/>
        <i x="26" s="1"/>
        <i x="37" s="1"/>
        <i x="2" s="1"/>
        <i x="39" s="1"/>
        <i x="8" s="1"/>
        <i x="22" s="1"/>
        <i x="27" s="1"/>
        <i x="3" s="1"/>
        <i x="1" s="1"/>
        <i x="6" s="1"/>
        <i x="23" s="1"/>
        <i x="7" s="1"/>
        <i x="0" s="1"/>
        <i x="34" s="1"/>
        <i x="10" s="1"/>
        <i x="11" s="1"/>
        <i x="38" s="1"/>
        <i x="13" s="1"/>
        <i x="40" s="1"/>
        <i x="18" s="1"/>
        <i x="4" s="1"/>
        <i x="31" s="1"/>
        <i x="29" s="1"/>
        <i x="21" s="1"/>
        <i x="19" s="1"/>
        <i x="14" s="1"/>
        <i x="12"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ID" xr10:uid="{683DA7AD-EDE3-4F13-9C66-C44395249FED}" sourceName="Branch ID">
  <pivotTables>
    <pivotTable tabId="11" name="PivotTable5"/>
  </pivotTables>
  <data>
    <tabular pivotCacheId="2126790935">
      <items count="10">
        <i x="0" s="1"/>
        <i x="1" s="1"/>
        <i x="2" s="1"/>
        <i x="3" s="1"/>
        <i x="4" s="1"/>
        <i x="5" s="1"/>
        <i x="6" s="1"/>
        <i x="7" s="1"/>
        <i x="8" s="1"/>
        <i x="9"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E39F20-A005-4448-92AB-AA008DC14BA7}" sourceName="Region">
  <pivotTables>
    <pivotTable tabId="11" name="PivotTable5"/>
  </pivotTables>
  <data>
    <tabular pivotCacheId="2126790935">
      <items count="4">
        <i x="0" s="1"/>
        <i x="3" s="1"/>
        <i x="2" s="1"/>
        <i x="1"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_Deposit_Goal" xr10:uid="{E6CD55E2-6A33-4C6F-B12B-FB450D95E8F9}" sourceName="Target Deposit Goal">
  <pivotTables>
    <pivotTable tabId="11" name="PivotTable5"/>
  </pivotTables>
  <data>
    <tabular pivotCacheId="2126790935">
      <items count="10">
        <i x="9" s="1"/>
        <i x="2" s="1"/>
        <i x="0" s="1"/>
        <i x="3" s="1"/>
        <i x="1" s="1"/>
        <i x="5" s="1"/>
        <i x="7" s="1"/>
        <i x="8" s="1"/>
        <i x="4" s="1"/>
        <i x="6"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ID" xr10:uid="{C3CE6234-EBF4-4077-93FE-C3A72F5F4835}" sourceName="Transaction ID">
  <pivotTables>
    <pivotTable tabId="11" name="PivotTable4"/>
  </pivotTables>
  <data>
    <tabular pivotCacheId="703040734">
      <items count="5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E25E2B7A-1050-463D-AF22-143AFE15E8B6}" sourceName="Transaction Type">
  <pivotTables>
    <pivotTable tabId="11" name="PivotTable4"/>
  </pivotTables>
  <data>
    <tabular pivotCacheId="703040734">
      <items count="2">
        <i x="0" s="1"/>
        <i x="1"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ount" xr10:uid="{BDF27F1E-3C0C-41E0-B06A-F1FAE26011D0}" sourceName="Amount">
  <pivotTables>
    <pivotTable tabId="11" name="PivotTable4"/>
  </pivotTables>
  <data>
    <tabular pivotCacheId="703040734">
      <items count="50">
        <i x="40" s="1"/>
        <i x="13" s="1"/>
        <i x="24" s="1"/>
        <i x="39" s="1"/>
        <i x="16" s="1"/>
        <i x="37" s="1"/>
        <i x="34" s="1"/>
        <i x="28" s="1"/>
        <i x="41" s="1"/>
        <i x="43" s="1"/>
        <i x="9" s="1"/>
        <i x="11" s="1"/>
        <i x="17" s="1"/>
        <i x="31" s="1"/>
        <i x="38" s="1"/>
        <i x="4" s="1"/>
        <i x="0" s="1"/>
        <i x="46" s="1"/>
        <i x="26" s="1"/>
        <i x="45" s="1"/>
        <i x="1" s="1"/>
        <i x="3" s="1"/>
        <i x="48" s="1"/>
        <i x="33" s="1"/>
        <i x="21" s="1"/>
        <i x="2" s="1"/>
        <i x="36" s="1"/>
        <i x="49" s="1"/>
        <i x="19" s="1"/>
        <i x="7" s="1"/>
        <i x="27" s="1"/>
        <i x="29" s="1"/>
        <i x="15" s="1"/>
        <i x="18" s="1"/>
        <i x="14" s="1"/>
        <i x="22" s="1"/>
        <i x="10" s="1"/>
        <i x="30" s="1"/>
        <i x="8" s="1"/>
        <i x="32" s="1"/>
        <i x="35" s="1"/>
        <i x="12" s="1"/>
        <i x="47" s="1"/>
        <i x="44" s="1"/>
        <i x="20" s="1"/>
        <i x="42" s="1"/>
        <i x="25" s="1"/>
        <i x="23"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5CF33C4C-F76B-4B09-97E0-1D694570DF40}" cache="Slicer_Age" caption="Age" rowHeight="209550"/>
  <slicer name="Gender" xr10:uid="{C9A1BD72-E951-413C-8CDB-817882FCF5C1}" cache="Slicer_Gender" caption="Gender" rowHeight="209550"/>
  <slicer name="Credit Score" xr10:uid="{C74125FD-9288-4D43-8DE0-9E03B9B628B8}" cache="Slicer_Credit_Score" caption="Credit Score" rowHeight="209550"/>
  <slicer name="Customer_ID" xr10:uid="{FFCEE468-B1F7-429F-B6FF-DD92FD78B10E}" cache="Slicer_Customer_ID" caption="Customer_ID" rowHeight="209550"/>
  <slicer name="Credit Category" xr10:uid="{C49DA7BE-B8F7-4A50-BC97-9510B0A860AA}" cache="Slicer_Credit_Category" caption="Credit Category" rowHeight="209550"/>
  <slicer name="Customer ID" xr10:uid="{D3197230-C696-4689-BB66-7D64168F6419}" cache="Slicer_Customer_ID1" caption="Customer ID" rowHeight="209550"/>
  <slicer name="Loan Amount" xr10:uid="{C31E1899-B050-49AB-873B-63146C9D0120}" cache="Slicer_Loan_Amount" caption="Loan Amount" rowHeight="209550"/>
  <slicer name="Loan ID" xr10:uid="{18E60BEE-89B6-4E3D-9307-A24D2671A3B7}" cache="Slicer_Loan_ID" caption="Loan ID" rowHeight="209550"/>
  <slicer name="Loan Product" xr10:uid="{B28CBA0F-30ED-4A67-BF66-004C9079DAD4}" cache="Slicer_Loan_Product" caption="Loan Product" rowHeight="209550"/>
  <slicer name="DTI" xr10:uid="{33FAD0A0-7227-4658-A106-260A45E91C65}" cache="Slicer_DTI" caption="DTI" rowHeight="209550"/>
  <slicer name="Branch ID" xr10:uid="{DE144594-AD37-4DDF-A947-2A10FE49F12B}" cache="Slicer_Branch_ID" caption="Branch ID" rowHeight="209550"/>
  <slicer name="Region" xr10:uid="{40353FB1-6413-49B5-B4CD-186D2C3AC92C}" cache="Slicer_Region" caption="Region" rowHeight="209550"/>
  <slicer name="Target Deposit Goal" xr10:uid="{BFFBA86F-7AAC-4693-B900-67BA8CDAFCB9}" cache="Slicer_Target_Deposit_Goal" caption="Target Deposit Goal" rowHeight="209550"/>
  <slicer name="Transaction ID" xr10:uid="{EFBB1028-ED94-4725-932C-A53C2211C298}" cache="Slicer_Transaction_ID" caption="Transaction ID" rowHeight="209550"/>
  <slicer name="Transaction Type" xr10:uid="{5DD9C658-E43D-47B2-8CAF-94288E2BCED5}" cache="Slicer_Transaction_Type" caption="Transaction Type" rowHeight="209550"/>
  <slicer name="Amount" xr10:uid="{A1A42FB4-3934-457D-B914-B8E2D753966B}" cache="Slicer_Amount" caption="Amount"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E8A4AA-BA67-4972-A012-F45690E8B79A}" name="Table1" displayName="Table1" ref="A1:G501" totalsRowShown="0">
  <autoFilter ref="A1:G501" xr:uid="{77E8A4AA-BA67-4972-A012-F45690E8B79A}"/>
  <tableColumns count="7">
    <tableColumn id="1" xr3:uid="{063C2839-4756-4EEF-B0B6-762B370A32BA}" name="Customer_ID"/>
    <tableColumn id="2" xr3:uid="{AC02207C-5CBE-46A0-AB22-D2475BA20428}" name="Customer Name"/>
    <tableColumn id="3" xr3:uid="{D456A22E-49E0-406E-B76E-6B649D9A7B77}" name="Age"/>
    <tableColumn id="4" xr3:uid="{8B6A3ED9-CD09-4E42-841E-B79F3006197D}" name="Gender"/>
    <tableColumn id="5" xr3:uid="{A36A71BF-14CF-46F3-9EE3-0E998D64A2D5}" name="Income Group"/>
    <tableColumn id="6" xr3:uid="{47F831E3-B968-4B17-88F3-FD27E8F50D06}" name="Credit Score"/>
    <tableColumn id="7" xr3:uid="{7FCC0E0A-ECA7-40C8-A820-19BB561BB460}" name="Credit Catego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0328BD-7D11-423B-BBFC-2523AA565302}" name="Table2" displayName="Table2" ref="A1:H501" totalsRowShown="0">
  <autoFilter ref="A1:H501" xr:uid="{180328BD-7D11-423B-BBFC-2523AA565302}"/>
  <tableColumns count="8">
    <tableColumn id="1" xr3:uid="{E731F078-A23C-4B6E-9ABD-91E34FC216F6}" name="Loan ID"/>
    <tableColumn id="2" xr3:uid="{78A5C78D-EDBE-4D0F-BFD2-DDA82ADE213C}" name="Customer ID"/>
    <tableColumn id="3" xr3:uid="{4B2E9240-57E8-4F70-BEBF-E961FF716A01}" name="Branch ID"/>
    <tableColumn id="4" xr3:uid="{75BB6DBB-0BD5-4B65-BD32-113D302784B7}" name="Loan Product"/>
    <tableColumn id="5" xr3:uid="{DAF88021-BDFE-4782-91F0-1D6A51E3D073}" name="Loan Amount"/>
    <tableColumn id="6" xr3:uid="{584F4ACB-E8A5-453A-A817-FBDB770494FA}" name="DTI"/>
    <tableColumn id="7" xr3:uid="{5FABF597-87B3-4798-B3AB-A282CCCA8D3C}" name="Loan Status"/>
    <tableColumn id="8" xr3:uid="{8B991576-1556-4076-A95A-4886589F3278}" name="Default Fla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7E800B-C5BD-4280-8117-6245DD501307}" name="Table3" displayName="Table3" ref="A1:F501" totalsRowShown="0">
  <autoFilter ref="A1:F501" xr:uid="{D67E800B-C5BD-4280-8117-6245DD501307}"/>
  <tableColumns count="6">
    <tableColumn id="1" xr3:uid="{C9AEC431-D928-4000-8C16-ED066EEBF7B4}" name="Transaction ID"/>
    <tableColumn id="2" xr3:uid="{0370E308-2ED8-4C86-BF6E-CEDDB2F27959}" name="Customer ID"/>
    <tableColumn id="3" xr3:uid="{8D3101C9-EED0-465D-9BF9-1C7EC2AA147B}" name="Branch ID"/>
    <tableColumn id="4" xr3:uid="{8213474E-4DD4-4158-913A-F8CFF7F07B29}" name="Transaction Date" dataDxfId="0"/>
    <tableColumn id="5" xr3:uid="{699A1FAF-B6C4-4E75-9CD9-F8BBB99365C5}" name="Transaction Type"/>
    <tableColumn id="6" xr3:uid="{E81021D7-3D3F-4F37-B18E-6E7CEE8FF7DE}" name="Amou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2EEFBA-8183-4E1E-91DF-F40DC9C666FF}" name="Table4" displayName="Table4" ref="A1:D11" totalsRowShown="0">
  <autoFilter ref="A1:D11" xr:uid="{062EEFBA-8183-4E1E-91DF-F40DC9C666FF}"/>
  <tableColumns count="4">
    <tableColumn id="1" xr3:uid="{5989F7F3-7BB3-4D4F-8659-5F48F90F7888}" name="Branch ID"/>
    <tableColumn id="2" xr3:uid="{9CF0381B-093C-47A8-BBA6-BFB5DF40B795}" name="Branch Name"/>
    <tableColumn id="3" xr3:uid="{15A78B20-D82B-46B7-AA19-C283A20542EC}" name="Region"/>
    <tableColumn id="4" xr3:uid="{332DD0BF-A9B1-4F7C-B386-5A3FBD7C79BC}" name="Target Deposit Go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71451-9746-4349-B924-C926F1056C56}">
  <dimension ref="A1:J43"/>
  <sheetViews>
    <sheetView topLeftCell="A19" workbookViewId="0">
      <selection activeCell="C19" sqref="C19"/>
    </sheetView>
  </sheetViews>
  <sheetFormatPr defaultRowHeight="14.4" x14ac:dyDescent="0.25"/>
  <cols>
    <col min="1" max="1" width="14.33203125" bestFit="1" customWidth="1"/>
    <col min="2" max="2" width="21.33203125" bestFit="1" customWidth="1"/>
    <col min="3" max="3" width="12.109375" bestFit="1" customWidth="1"/>
    <col min="4" max="4" width="19" bestFit="1" customWidth="1"/>
    <col min="5" max="5" width="21.33203125" bestFit="1" customWidth="1"/>
    <col min="6" max="6" width="12.109375" bestFit="1" customWidth="1"/>
    <col min="7" max="7" width="19" bestFit="1" customWidth="1"/>
    <col min="8" max="8" width="28.109375" bestFit="1" customWidth="1"/>
    <col min="9" max="9" width="19" bestFit="1" customWidth="1"/>
    <col min="10" max="10" width="25.88671875" bestFit="1" customWidth="1"/>
  </cols>
  <sheetData>
    <row r="1" spans="1:4" x14ac:dyDescent="0.25">
      <c r="A1" t="s">
        <v>2097</v>
      </c>
    </row>
    <row r="2" spans="1:4" x14ac:dyDescent="0.25">
      <c r="A2" s="5" t="s">
        <v>2081</v>
      </c>
      <c r="B2" t="s">
        <v>2084</v>
      </c>
      <c r="C2" t="s">
        <v>2085</v>
      </c>
      <c r="D2" t="s">
        <v>2086</v>
      </c>
    </row>
    <row r="3" spans="1:4" x14ac:dyDescent="0.25">
      <c r="A3" s="6" t="s">
        <v>18</v>
      </c>
      <c r="B3" s="7">
        <v>165</v>
      </c>
      <c r="C3" s="7">
        <v>131405</v>
      </c>
      <c r="D3" s="7">
        <v>7167</v>
      </c>
    </row>
    <row r="4" spans="1:4" x14ac:dyDescent="0.25">
      <c r="A4" s="8" t="s">
        <v>28</v>
      </c>
      <c r="B4" s="7">
        <v>73</v>
      </c>
      <c r="C4" s="7">
        <v>58250</v>
      </c>
      <c r="D4" s="7">
        <v>3081</v>
      </c>
    </row>
    <row r="5" spans="1:4" x14ac:dyDescent="0.25">
      <c r="A5" s="8" t="s">
        <v>16</v>
      </c>
      <c r="B5" s="7">
        <v>92</v>
      </c>
      <c r="C5" s="7">
        <v>73155</v>
      </c>
      <c r="D5" s="7">
        <v>4086</v>
      </c>
    </row>
    <row r="6" spans="1:4" x14ac:dyDescent="0.25">
      <c r="A6" s="6" t="s">
        <v>26</v>
      </c>
      <c r="B6" s="7">
        <v>78</v>
      </c>
      <c r="C6" s="7">
        <v>52640</v>
      </c>
      <c r="D6" s="7">
        <v>3309</v>
      </c>
    </row>
    <row r="7" spans="1:4" x14ac:dyDescent="0.25">
      <c r="A7" s="8" t="s">
        <v>28</v>
      </c>
      <c r="B7" s="7">
        <v>38</v>
      </c>
      <c r="C7" s="7">
        <v>25648</v>
      </c>
      <c r="D7" s="7">
        <v>1530</v>
      </c>
    </row>
    <row r="8" spans="1:4" x14ac:dyDescent="0.25">
      <c r="A8" s="8" t="s">
        <v>16</v>
      </c>
      <c r="B8" s="7">
        <v>40</v>
      </c>
      <c r="C8" s="7">
        <v>26992</v>
      </c>
      <c r="D8" s="7">
        <v>1779</v>
      </c>
    </row>
    <row r="9" spans="1:4" x14ac:dyDescent="0.25">
      <c r="A9" s="6" t="s">
        <v>32</v>
      </c>
      <c r="B9" s="7">
        <v>90</v>
      </c>
      <c r="C9" s="7">
        <v>64888</v>
      </c>
      <c r="D9" s="7">
        <v>3829</v>
      </c>
    </row>
    <row r="10" spans="1:4" x14ac:dyDescent="0.25">
      <c r="A10" s="8" t="s">
        <v>28</v>
      </c>
      <c r="B10" s="7">
        <v>45</v>
      </c>
      <c r="C10" s="7">
        <v>32423</v>
      </c>
      <c r="D10" s="7">
        <v>1973</v>
      </c>
    </row>
    <row r="11" spans="1:4" x14ac:dyDescent="0.25">
      <c r="A11" s="8" t="s">
        <v>16</v>
      </c>
      <c r="B11" s="7">
        <v>45</v>
      </c>
      <c r="C11" s="7">
        <v>32465</v>
      </c>
      <c r="D11" s="7">
        <v>1856</v>
      </c>
    </row>
    <row r="12" spans="1:4" x14ac:dyDescent="0.25">
      <c r="A12" s="6" t="s">
        <v>21</v>
      </c>
      <c r="B12" s="7">
        <v>167</v>
      </c>
      <c r="C12" s="7">
        <v>99708</v>
      </c>
      <c r="D12" s="7">
        <v>7104</v>
      </c>
    </row>
    <row r="13" spans="1:4" x14ac:dyDescent="0.25">
      <c r="A13" s="8" t="s">
        <v>28</v>
      </c>
      <c r="B13" s="7">
        <v>82</v>
      </c>
      <c r="C13" s="7">
        <v>48935</v>
      </c>
      <c r="D13" s="7">
        <v>3357</v>
      </c>
    </row>
    <row r="14" spans="1:4" x14ac:dyDescent="0.25">
      <c r="A14" s="8" t="s">
        <v>16</v>
      </c>
      <c r="B14" s="7">
        <v>85</v>
      </c>
      <c r="C14" s="7">
        <v>50773</v>
      </c>
      <c r="D14" s="7">
        <v>3747</v>
      </c>
    </row>
    <row r="15" spans="1:4" x14ac:dyDescent="0.25">
      <c r="A15" s="6" t="s">
        <v>2082</v>
      </c>
      <c r="B15" s="7">
        <v>500</v>
      </c>
      <c r="C15" s="7">
        <v>348641</v>
      </c>
      <c r="D15" s="7">
        <v>21409</v>
      </c>
    </row>
    <row r="19" spans="1:10" x14ac:dyDescent="0.25">
      <c r="A19" t="s">
        <v>2098</v>
      </c>
    </row>
    <row r="20" spans="1:10" x14ac:dyDescent="0.25">
      <c r="B20" s="5" t="s">
        <v>2083</v>
      </c>
    </row>
    <row r="21" spans="1:10" x14ac:dyDescent="0.25">
      <c r="B21" t="s">
        <v>1027</v>
      </c>
      <c r="E21" t="s">
        <v>1036</v>
      </c>
      <c r="H21" t="s">
        <v>2088</v>
      </c>
      <c r="I21" t="s">
        <v>2089</v>
      </c>
      <c r="J21" t="s">
        <v>2091</v>
      </c>
    </row>
    <row r="22" spans="1:10" x14ac:dyDescent="0.25">
      <c r="A22" s="5" t="s">
        <v>2081</v>
      </c>
      <c r="B22" t="s">
        <v>2087</v>
      </c>
      <c r="C22" t="s">
        <v>2090</v>
      </c>
      <c r="D22" t="s">
        <v>2092</v>
      </c>
      <c r="E22" t="s">
        <v>2087</v>
      </c>
      <c r="F22" t="s">
        <v>2090</v>
      </c>
      <c r="G22" t="s">
        <v>2092</v>
      </c>
    </row>
    <row r="23" spans="1:10" x14ac:dyDescent="0.25">
      <c r="A23" s="6" t="s">
        <v>1030</v>
      </c>
      <c r="B23" s="7">
        <v>6985000</v>
      </c>
      <c r="C23" s="7">
        <v>39.749999999999979</v>
      </c>
      <c r="D23" s="7">
        <v>113</v>
      </c>
      <c r="E23" s="7">
        <v>1118000</v>
      </c>
      <c r="F23" s="7">
        <v>6.9700000000000015</v>
      </c>
      <c r="G23" s="7">
        <v>19</v>
      </c>
      <c r="H23" s="7">
        <v>8103000</v>
      </c>
      <c r="I23" s="7">
        <v>46.719999999999963</v>
      </c>
      <c r="J23" s="7">
        <v>132</v>
      </c>
    </row>
    <row r="24" spans="1:10" x14ac:dyDescent="0.25">
      <c r="A24" s="6" t="s">
        <v>1026</v>
      </c>
      <c r="B24" s="7">
        <v>5545000</v>
      </c>
      <c r="C24" s="7">
        <v>35.479999999999997</v>
      </c>
      <c r="D24" s="7">
        <v>101</v>
      </c>
      <c r="E24" s="7">
        <v>1777000</v>
      </c>
      <c r="F24" s="7">
        <v>11.730000000000006</v>
      </c>
      <c r="G24" s="7">
        <v>33</v>
      </c>
      <c r="H24" s="7">
        <v>7322000</v>
      </c>
      <c r="I24" s="7">
        <v>47.210000000000015</v>
      </c>
      <c r="J24" s="7">
        <v>134</v>
      </c>
    </row>
    <row r="25" spans="1:10" x14ac:dyDescent="0.25">
      <c r="A25" s="6" t="s">
        <v>1039</v>
      </c>
      <c r="B25" s="7">
        <v>4959000</v>
      </c>
      <c r="C25" s="7">
        <v>33.580000000000005</v>
      </c>
      <c r="D25" s="7">
        <v>96</v>
      </c>
      <c r="E25" s="7">
        <v>1637000</v>
      </c>
      <c r="F25" s="7">
        <v>9.009999999999998</v>
      </c>
      <c r="G25" s="7">
        <v>27</v>
      </c>
      <c r="H25" s="7">
        <v>6596000</v>
      </c>
      <c r="I25" s="7">
        <v>42.590000000000025</v>
      </c>
      <c r="J25" s="7">
        <v>123</v>
      </c>
    </row>
    <row r="26" spans="1:10" x14ac:dyDescent="0.25">
      <c r="A26" s="6" t="s">
        <v>1035</v>
      </c>
      <c r="B26" s="7">
        <v>4987000</v>
      </c>
      <c r="C26" s="7">
        <v>31.829999999999995</v>
      </c>
      <c r="D26" s="7">
        <v>93</v>
      </c>
      <c r="E26" s="7">
        <v>950000</v>
      </c>
      <c r="F26" s="7">
        <v>6.69</v>
      </c>
      <c r="G26" s="7">
        <v>18</v>
      </c>
      <c r="H26" s="7">
        <v>5937000</v>
      </c>
      <c r="I26" s="7">
        <v>38.52000000000001</v>
      </c>
      <c r="J26" s="7">
        <v>111</v>
      </c>
    </row>
    <row r="27" spans="1:10" x14ac:dyDescent="0.25">
      <c r="A27" s="6" t="s">
        <v>2082</v>
      </c>
      <c r="B27" s="7">
        <v>22476000</v>
      </c>
      <c r="C27" s="7">
        <v>140.64000000000004</v>
      </c>
      <c r="D27" s="7">
        <v>403</v>
      </c>
      <c r="E27" s="7">
        <v>5482000</v>
      </c>
      <c r="F27" s="7">
        <v>34.400000000000006</v>
      </c>
      <c r="G27" s="7">
        <v>97</v>
      </c>
      <c r="H27" s="7">
        <v>27958000</v>
      </c>
      <c r="I27" s="7">
        <v>175.04000000000002</v>
      </c>
      <c r="J27" s="7">
        <v>500</v>
      </c>
    </row>
    <row r="30" spans="1:10" ht="15" x14ac:dyDescent="0.3">
      <c r="A30" s="3" t="s">
        <v>2099</v>
      </c>
    </row>
    <row r="31" spans="1:10" x14ac:dyDescent="0.25">
      <c r="A31" s="5" t="s">
        <v>2081</v>
      </c>
      <c r="B31" t="s">
        <v>2093</v>
      </c>
      <c r="C31" t="s">
        <v>2094</v>
      </c>
    </row>
    <row r="32" spans="1:10" x14ac:dyDescent="0.25">
      <c r="A32" s="6" t="s">
        <v>1545</v>
      </c>
      <c r="B32" s="7">
        <v>236</v>
      </c>
      <c r="C32" s="7">
        <v>5837000</v>
      </c>
    </row>
    <row r="33" spans="1:3" x14ac:dyDescent="0.25">
      <c r="A33" s="6" t="s">
        <v>1547</v>
      </c>
      <c r="B33" s="7">
        <v>264</v>
      </c>
      <c r="C33" s="7">
        <v>7325000</v>
      </c>
    </row>
    <row r="34" spans="1:3" x14ac:dyDescent="0.25">
      <c r="A34" s="6" t="s">
        <v>2082</v>
      </c>
      <c r="B34" s="7">
        <v>500</v>
      </c>
      <c r="C34" s="7">
        <v>13162000</v>
      </c>
    </row>
    <row r="37" spans="1:3" ht="15" x14ac:dyDescent="0.3">
      <c r="A37" s="3" t="s">
        <v>2100</v>
      </c>
    </row>
    <row r="38" spans="1:3" x14ac:dyDescent="0.25">
      <c r="A38" s="5" t="s">
        <v>2081</v>
      </c>
      <c r="B38" t="s">
        <v>2095</v>
      </c>
      <c r="C38" t="s">
        <v>2096</v>
      </c>
    </row>
    <row r="39" spans="1:3" x14ac:dyDescent="0.25">
      <c r="A39" s="6" t="s">
        <v>2052</v>
      </c>
      <c r="B39" s="7">
        <v>1</v>
      </c>
      <c r="C39" s="7">
        <v>208000000</v>
      </c>
    </row>
    <row r="40" spans="1:3" x14ac:dyDescent="0.25">
      <c r="A40" s="6" t="s">
        <v>2067</v>
      </c>
      <c r="B40" s="7">
        <v>2</v>
      </c>
      <c r="C40" s="7">
        <v>830000000</v>
      </c>
    </row>
    <row r="41" spans="1:3" x14ac:dyDescent="0.25">
      <c r="A41" s="6" t="s">
        <v>2058</v>
      </c>
      <c r="B41" s="7">
        <v>3</v>
      </c>
      <c r="C41" s="7">
        <v>673000000</v>
      </c>
    </row>
    <row r="42" spans="1:3" x14ac:dyDescent="0.25">
      <c r="A42" s="6" t="s">
        <v>2055</v>
      </c>
      <c r="B42" s="7">
        <v>4</v>
      </c>
      <c r="C42" s="7">
        <v>969000000</v>
      </c>
    </row>
    <row r="43" spans="1:3" x14ac:dyDescent="0.25">
      <c r="A43" s="6" t="s">
        <v>2082</v>
      </c>
      <c r="B43" s="7">
        <v>10</v>
      </c>
      <c r="C43" s="7">
        <v>2680000000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1"/>
  <sheetViews>
    <sheetView topLeftCell="A2" workbookViewId="0">
      <selection activeCell="A3" sqref="A3"/>
    </sheetView>
  </sheetViews>
  <sheetFormatPr defaultColWidth="9" defaultRowHeight="14.4" x14ac:dyDescent="0.25"/>
  <cols>
    <col min="1" max="1" width="15.109375" customWidth="1"/>
    <col min="2" max="2" width="17.33203125" customWidth="1"/>
    <col min="4" max="4" width="9.5546875" customWidth="1"/>
    <col min="5" max="6" width="16.21875" customWidth="1"/>
    <col min="7" max="7" width="19.5546875" customWidth="1"/>
  </cols>
  <sheetData>
    <row r="1" spans="1:7" x14ac:dyDescent="0.25">
      <c r="A1" t="s">
        <v>0</v>
      </c>
      <c r="B1" t="s">
        <v>1</v>
      </c>
      <c r="C1" t="s">
        <v>2</v>
      </c>
      <c r="D1" t="s">
        <v>3</v>
      </c>
      <c r="E1" t="s">
        <v>4</v>
      </c>
      <c r="F1" t="s">
        <v>5</v>
      </c>
      <c r="G1" t="s">
        <v>6</v>
      </c>
    </row>
    <row r="2" spans="1:7" x14ac:dyDescent="0.25">
      <c r="A2" t="s">
        <v>524</v>
      </c>
      <c r="B2" t="s">
        <v>15</v>
      </c>
      <c r="C2">
        <v>33</v>
      </c>
      <c r="D2" t="s">
        <v>16</v>
      </c>
      <c r="E2" t="s">
        <v>17</v>
      </c>
      <c r="F2">
        <v>781</v>
      </c>
      <c r="G2" t="s">
        <v>18</v>
      </c>
    </row>
    <row r="3" spans="1:7" x14ac:dyDescent="0.25">
      <c r="A3" t="s">
        <v>525</v>
      </c>
      <c r="B3" t="s">
        <v>19</v>
      </c>
      <c r="C3">
        <v>54</v>
      </c>
      <c r="D3" t="s">
        <v>16</v>
      </c>
      <c r="E3" t="s">
        <v>20</v>
      </c>
      <c r="F3">
        <v>627</v>
      </c>
      <c r="G3" t="s">
        <v>21</v>
      </c>
    </row>
    <row r="4" spans="1:7" x14ac:dyDescent="0.25">
      <c r="A4" t="s">
        <v>526</v>
      </c>
      <c r="B4" t="s">
        <v>22</v>
      </c>
      <c r="C4">
        <v>65</v>
      </c>
      <c r="D4" t="s">
        <v>16</v>
      </c>
      <c r="E4" t="s">
        <v>23</v>
      </c>
      <c r="F4">
        <v>792</v>
      </c>
      <c r="G4" t="s">
        <v>18</v>
      </c>
    </row>
    <row r="5" spans="1:7" x14ac:dyDescent="0.25">
      <c r="A5" t="s">
        <v>527</v>
      </c>
      <c r="B5" t="s">
        <v>24</v>
      </c>
      <c r="C5">
        <v>58</v>
      </c>
      <c r="D5" t="s">
        <v>16</v>
      </c>
      <c r="E5" t="s">
        <v>20</v>
      </c>
      <c r="F5">
        <v>755</v>
      </c>
      <c r="G5" t="s">
        <v>18</v>
      </c>
    </row>
    <row r="6" spans="1:7" x14ac:dyDescent="0.25">
      <c r="A6" t="s">
        <v>528</v>
      </c>
      <c r="B6" t="s">
        <v>25</v>
      </c>
      <c r="C6">
        <v>57</v>
      </c>
      <c r="D6" t="s">
        <v>16</v>
      </c>
      <c r="E6" t="s">
        <v>17</v>
      </c>
      <c r="F6">
        <v>661</v>
      </c>
      <c r="G6" t="s">
        <v>26</v>
      </c>
    </row>
    <row r="7" spans="1:7" x14ac:dyDescent="0.25">
      <c r="A7" t="s">
        <v>529</v>
      </c>
      <c r="B7" t="s">
        <v>27</v>
      </c>
      <c r="C7">
        <v>29</v>
      </c>
      <c r="D7" t="s">
        <v>28</v>
      </c>
      <c r="E7" t="s">
        <v>17</v>
      </c>
      <c r="F7">
        <v>630</v>
      </c>
      <c r="G7" t="s">
        <v>21</v>
      </c>
    </row>
    <row r="8" spans="1:7" x14ac:dyDescent="0.25">
      <c r="A8" t="s">
        <v>530</v>
      </c>
      <c r="B8" t="s">
        <v>29</v>
      </c>
      <c r="C8">
        <v>51</v>
      </c>
      <c r="D8" t="s">
        <v>28</v>
      </c>
      <c r="E8" t="s">
        <v>23</v>
      </c>
      <c r="F8">
        <v>604</v>
      </c>
      <c r="G8" t="s">
        <v>21</v>
      </c>
    </row>
    <row r="9" spans="1:7" x14ac:dyDescent="0.25">
      <c r="A9" t="s">
        <v>531</v>
      </c>
      <c r="B9" t="s">
        <v>30</v>
      </c>
      <c r="C9">
        <v>47</v>
      </c>
      <c r="D9" t="s">
        <v>16</v>
      </c>
      <c r="E9" t="s">
        <v>17</v>
      </c>
      <c r="F9">
        <v>821</v>
      </c>
      <c r="G9" t="s">
        <v>18</v>
      </c>
    </row>
    <row r="10" spans="1:7" x14ac:dyDescent="0.25">
      <c r="A10" t="s">
        <v>532</v>
      </c>
      <c r="B10" t="s">
        <v>31</v>
      </c>
      <c r="C10">
        <v>42</v>
      </c>
      <c r="D10" t="s">
        <v>28</v>
      </c>
      <c r="E10" t="s">
        <v>23</v>
      </c>
      <c r="F10">
        <v>728</v>
      </c>
      <c r="G10" t="s">
        <v>32</v>
      </c>
    </row>
    <row r="11" spans="1:7" x14ac:dyDescent="0.25">
      <c r="A11" t="s">
        <v>533</v>
      </c>
      <c r="B11" t="s">
        <v>33</v>
      </c>
      <c r="C11">
        <v>35</v>
      </c>
      <c r="D11" t="s">
        <v>16</v>
      </c>
      <c r="E11" t="s">
        <v>23</v>
      </c>
      <c r="F11">
        <v>618</v>
      </c>
      <c r="G11" t="s">
        <v>21</v>
      </c>
    </row>
    <row r="12" spans="1:7" x14ac:dyDescent="0.25">
      <c r="A12" t="s">
        <v>534</v>
      </c>
      <c r="B12" t="s">
        <v>34</v>
      </c>
      <c r="C12">
        <v>25</v>
      </c>
      <c r="D12" t="s">
        <v>28</v>
      </c>
      <c r="E12" t="s">
        <v>17</v>
      </c>
      <c r="F12">
        <v>572</v>
      </c>
      <c r="G12" t="s">
        <v>21</v>
      </c>
    </row>
    <row r="13" spans="1:7" x14ac:dyDescent="0.25">
      <c r="A13" t="s">
        <v>535</v>
      </c>
      <c r="B13" t="s">
        <v>35</v>
      </c>
      <c r="C13">
        <v>24</v>
      </c>
      <c r="D13" t="s">
        <v>28</v>
      </c>
      <c r="E13" t="s">
        <v>17</v>
      </c>
      <c r="F13">
        <v>552</v>
      </c>
      <c r="G13" t="s">
        <v>21</v>
      </c>
    </row>
    <row r="14" spans="1:7" x14ac:dyDescent="0.25">
      <c r="A14" t="s">
        <v>536</v>
      </c>
      <c r="B14" t="s">
        <v>36</v>
      </c>
      <c r="C14">
        <v>59</v>
      </c>
      <c r="D14" t="s">
        <v>16</v>
      </c>
      <c r="E14" t="s">
        <v>23</v>
      </c>
      <c r="F14">
        <v>640</v>
      </c>
      <c r="G14" t="s">
        <v>21</v>
      </c>
    </row>
    <row r="15" spans="1:7" x14ac:dyDescent="0.25">
      <c r="A15" t="s">
        <v>537</v>
      </c>
      <c r="B15" t="s">
        <v>37</v>
      </c>
      <c r="C15">
        <v>28</v>
      </c>
      <c r="D15" t="s">
        <v>16</v>
      </c>
      <c r="E15" t="s">
        <v>20</v>
      </c>
      <c r="F15">
        <v>688</v>
      </c>
      <c r="G15" t="s">
        <v>26</v>
      </c>
    </row>
    <row r="16" spans="1:7" x14ac:dyDescent="0.25">
      <c r="A16" t="s">
        <v>538</v>
      </c>
      <c r="B16" t="s">
        <v>38</v>
      </c>
      <c r="C16">
        <v>35</v>
      </c>
      <c r="D16" t="s">
        <v>16</v>
      </c>
      <c r="E16" t="s">
        <v>20</v>
      </c>
      <c r="F16">
        <v>773</v>
      </c>
      <c r="G16" t="s">
        <v>18</v>
      </c>
    </row>
    <row r="17" spans="1:7" x14ac:dyDescent="0.25">
      <c r="A17" t="s">
        <v>539</v>
      </c>
      <c r="B17" t="s">
        <v>39</v>
      </c>
      <c r="C17">
        <v>43</v>
      </c>
      <c r="D17" t="s">
        <v>28</v>
      </c>
      <c r="E17" t="s">
        <v>17</v>
      </c>
      <c r="F17">
        <v>661</v>
      </c>
      <c r="G17" t="s">
        <v>26</v>
      </c>
    </row>
    <row r="18" spans="1:7" x14ac:dyDescent="0.25">
      <c r="A18" t="s">
        <v>540</v>
      </c>
      <c r="B18" t="s">
        <v>40</v>
      </c>
      <c r="C18">
        <v>32</v>
      </c>
      <c r="D18" t="s">
        <v>28</v>
      </c>
      <c r="E18" t="s">
        <v>17</v>
      </c>
      <c r="F18">
        <v>617</v>
      </c>
      <c r="G18" t="s">
        <v>21</v>
      </c>
    </row>
    <row r="19" spans="1:7" x14ac:dyDescent="0.25">
      <c r="A19" t="s">
        <v>541</v>
      </c>
      <c r="B19" t="s">
        <v>41</v>
      </c>
      <c r="C19">
        <v>65</v>
      </c>
      <c r="D19" t="s">
        <v>16</v>
      </c>
      <c r="E19" t="s">
        <v>20</v>
      </c>
      <c r="F19">
        <v>789</v>
      </c>
      <c r="G19" t="s">
        <v>18</v>
      </c>
    </row>
    <row r="20" spans="1:7" x14ac:dyDescent="0.25">
      <c r="A20" t="s">
        <v>542</v>
      </c>
      <c r="B20" t="s">
        <v>42</v>
      </c>
      <c r="C20">
        <v>42</v>
      </c>
      <c r="D20" t="s">
        <v>16</v>
      </c>
      <c r="E20" t="s">
        <v>20</v>
      </c>
      <c r="F20">
        <v>844</v>
      </c>
      <c r="G20" t="s">
        <v>18</v>
      </c>
    </row>
    <row r="21" spans="1:7" x14ac:dyDescent="0.25">
      <c r="A21" t="s">
        <v>543</v>
      </c>
      <c r="B21" t="s">
        <v>43</v>
      </c>
      <c r="C21">
        <v>25</v>
      </c>
      <c r="D21" t="s">
        <v>28</v>
      </c>
      <c r="E21" t="s">
        <v>20</v>
      </c>
      <c r="F21">
        <v>716</v>
      </c>
      <c r="G21" t="s">
        <v>32</v>
      </c>
    </row>
    <row r="22" spans="1:7" x14ac:dyDescent="0.25">
      <c r="A22" t="s">
        <v>544</v>
      </c>
      <c r="B22" t="s">
        <v>44</v>
      </c>
      <c r="C22">
        <v>44</v>
      </c>
      <c r="D22" t="s">
        <v>28</v>
      </c>
      <c r="E22" t="s">
        <v>17</v>
      </c>
      <c r="F22">
        <v>706</v>
      </c>
      <c r="G22" t="s">
        <v>32</v>
      </c>
    </row>
    <row r="23" spans="1:7" x14ac:dyDescent="0.25">
      <c r="A23" t="s">
        <v>545</v>
      </c>
      <c r="B23" t="s">
        <v>45</v>
      </c>
      <c r="C23">
        <v>48</v>
      </c>
      <c r="D23" t="s">
        <v>16</v>
      </c>
      <c r="E23" t="s">
        <v>17</v>
      </c>
      <c r="F23">
        <v>551</v>
      </c>
      <c r="G23" t="s">
        <v>21</v>
      </c>
    </row>
    <row r="24" spans="1:7" x14ac:dyDescent="0.25">
      <c r="A24" t="s">
        <v>546</v>
      </c>
      <c r="B24" t="s">
        <v>46</v>
      </c>
      <c r="C24">
        <v>46</v>
      </c>
      <c r="D24" t="s">
        <v>28</v>
      </c>
      <c r="E24" t="s">
        <v>17</v>
      </c>
      <c r="F24">
        <v>665</v>
      </c>
      <c r="G24" t="s">
        <v>26</v>
      </c>
    </row>
    <row r="25" spans="1:7" x14ac:dyDescent="0.25">
      <c r="A25" t="s">
        <v>547</v>
      </c>
      <c r="B25" t="s">
        <v>47</v>
      </c>
      <c r="C25">
        <v>62</v>
      </c>
      <c r="D25" t="s">
        <v>28</v>
      </c>
      <c r="E25" t="s">
        <v>17</v>
      </c>
      <c r="F25">
        <v>706</v>
      </c>
      <c r="G25" t="s">
        <v>32</v>
      </c>
    </row>
    <row r="26" spans="1:7" x14ac:dyDescent="0.25">
      <c r="A26" t="s">
        <v>548</v>
      </c>
      <c r="B26" t="s">
        <v>48</v>
      </c>
      <c r="C26">
        <v>33</v>
      </c>
      <c r="D26" t="s">
        <v>28</v>
      </c>
      <c r="E26" t="s">
        <v>20</v>
      </c>
      <c r="F26">
        <v>632</v>
      </c>
      <c r="G26" t="s">
        <v>21</v>
      </c>
    </row>
    <row r="27" spans="1:7" x14ac:dyDescent="0.25">
      <c r="A27" t="s">
        <v>549</v>
      </c>
      <c r="B27" t="s">
        <v>49</v>
      </c>
      <c r="C27">
        <v>42</v>
      </c>
      <c r="D27" t="s">
        <v>28</v>
      </c>
      <c r="E27" t="s">
        <v>23</v>
      </c>
      <c r="F27">
        <v>840</v>
      </c>
      <c r="G27" t="s">
        <v>18</v>
      </c>
    </row>
    <row r="28" spans="1:7" x14ac:dyDescent="0.25">
      <c r="A28" t="s">
        <v>550</v>
      </c>
      <c r="B28" t="s">
        <v>50</v>
      </c>
      <c r="C28">
        <v>53</v>
      </c>
      <c r="D28" t="s">
        <v>28</v>
      </c>
      <c r="E28" t="s">
        <v>23</v>
      </c>
      <c r="F28">
        <v>775</v>
      </c>
      <c r="G28" t="s">
        <v>18</v>
      </c>
    </row>
    <row r="29" spans="1:7" x14ac:dyDescent="0.25">
      <c r="A29" t="s">
        <v>551</v>
      </c>
      <c r="B29" t="s">
        <v>51</v>
      </c>
      <c r="C29">
        <v>56</v>
      </c>
      <c r="D29" t="s">
        <v>28</v>
      </c>
      <c r="E29" t="s">
        <v>17</v>
      </c>
      <c r="F29">
        <v>779</v>
      </c>
      <c r="G29" t="s">
        <v>18</v>
      </c>
    </row>
    <row r="30" spans="1:7" x14ac:dyDescent="0.25">
      <c r="A30" t="s">
        <v>552</v>
      </c>
      <c r="B30" t="s">
        <v>52</v>
      </c>
      <c r="C30">
        <v>47</v>
      </c>
      <c r="D30" t="s">
        <v>28</v>
      </c>
      <c r="E30" t="s">
        <v>23</v>
      </c>
      <c r="F30">
        <v>610</v>
      </c>
      <c r="G30" t="s">
        <v>21</v>
      </c>
    </row>
    <row r="31" spans="1:7" x14ac:dyDescent="0.25">
      <c r="A31" t="s">
        <v>553</v>
      </c>
      <c r="B31" t="s">
        <v>53</v>
      </c>
      <c r="C31">
        <v>52</v>
      </c>
      <c r="D31" t="s">
        <v>28</v>
      </c>
      <c r="E31" t="s">
        <v>20</v>
      </c>
      <c r="F31">
        <v>797</v>
      </c>
      <c r="G31" t="s">
        <v>18</v>
      </c>
    </row>
    <row r="32" spans="1:7" x14ac:dyDescent="0.25">
      <c r="A32" t="s">
        <v>554</v>
      </c>
      <c r="B32" t="s">
        <v>54</v>
      </c>
      <c r="C32">
        <v>33</v>
      </c>
      <c r="D32" t="s">
        <v>28</v>
      </c>
      <c r="E32" t="s">
        <v>17</v>
      </c>
      <c r="F32">
        <v>551</v>
      </c>
      <c r="G32" t="s">
        <v>21</v>
      </c>
    </row>
    <row r="33" spans="1:7" x14ac:dyDescent="0.25">
      <c r="A33" t="s">
        <v>555</v>
      </c>
      <c r="B33" t="s">
        <v>55</v>
      </c>
      <c r="C33">
        <v>40</v>
      </c>
      <c r="D33" t="s">
        <v>16</v>
      </c>
      <c r="E33" t="s">
        <v>20</v>
      </c>
      <c r="F33">
        <v>595</v>
      </c>
      <c r="G33" t="s">
        <v>21</v>
      </c>
    </row>
    <row r="34" spans="1:7" x14ac:dyDescent="0.25">
      <c r="A34" t="s">
        <v>556</v>
      </c>
      <c r="B34" t="s">
        <v>56</v>
      </c>
      <c r="C34">
        <v>29</v>
      </c>
      <c r="D34" t="s">
        <v>28</v>
      </c>
      <c r="E34" t="s">
        <v>23</v>
      </c>
      <c r="F34">
        <v>758</v>
      </c>
      <c r="G34" t="s">
        <v>18</v>
      </c>
    </row>
    <row r="35" spans="1:7" x14ac:dyDescent="0.25">
      <c r="A35" t="s">
        <v>557</v>
      </c>
      <c r="B35" t="s">
        <v>57</v>
      </c>
      <c r="C35">
        <v>56</v>
      </c>
      <c r="D35" t="s">
        <v>28</v>
      </c>
      <c r="E35" t="s">
        <v>23</v>
      </c>
      <c r="F35">
        <v>553</v>
      </c>
      <c r="G35" t="s">
        <v>21</v>
      </c>
    </row>
    <row r="36" spans="1:7" x14ac:dyDescent="0.25">
      <c r="A36" t="s">
        <v>558</v>
      </c>
      <c r="B36" t="s">
        <v>58</v>
      </c>
      <c r="C36">
        <v>59</v>
      </c>
      <c r="D36" t="s">
        <v>16</v>
      </c>
      <c r="E36" t="s">
        <v>20</v>
      </c>
      <c r="F36">
        <v>680</v>
      </c>
      <c r="G36" t="s">
        <v>26</v>
      </c>
    </row>
    <row r="37" spans="1:7" x14ac:dyDescent="0.25">
      <c r="A37" t="s">
        <v>559</v>
      </c>
      <c r="B37" t="s">
        <v>59</v>
      </c>
      <c r="C37">
        <v>26</v>
      </c>
      <c r="D37" t="s">
        <v>28</v>
      </c>
      <c r="E37" t="s">
        <v>23</v>
      </c>
      <c r="F37">
        <v>719</v>
      </c>
      <c r="G37" t="s">
        <v>32</v>
      </c>
    </row>
    <row r="38" spans="1:7" x14ac:dyDescent="0.25">
      <c r="A38" t="s">
        <v>560</v>
      </c>
      <c r="B38" t="s">
        <v>60</v>
      </c>
      <c r="C38">
        <v>37</v>
      </c>
      <c r="D38" t="s">
        <v>16</v>
      </c>
      <c r="E38" t="s">
        <v>23</v>
      </c>
      <c r="F38">
        <v>673</v>
      </c>
      <c r="G38" t="s">
        <v>26</v>
      </c>
    </row>
    <row r="39" spans="1:7" x14ac:dyDescent="0.25">
      <c r="A39" t="s">
        <v>561</v>
      </c>
      <c r="B39" t="s">
        <v>61</v>
      </c>
      <c r="C39">
        <v>22</v>
      </c>
      <c r="D39" t="s">
        <v>28</v>
      </c>
      <c r="E39" t="s">
        <v>17</v>
      </c>
      <c r="F39">
        <v>607</v>
      </c>
      <c r="G39" t="s">
        <v>21</v>
      </c>
    </row>
    <row r="40" spans="1:7" x14ac:dyDescent="0.25">
      <c r="A40" t="s">
        <v>562</v>
      </c>
      <c r="B40" t="s">
        <v>62</v>
      </c>
      <c r="C40">
        <v>27</v>
      </c>
      <c r="D40" t="s">
        <v>16</v>
      </c>
      <c r="E40" t="s">
        <v>20</v>
      </c>
      <c r="F40">
        <v>615</v>
      </c>
      <c r="G40" t="s">
        <v>21</v>
      </c>
    </row>
    <row r="41" spans="1:7" x14ac:dyDescent="0.25">
      <c r="A41" t="s">
        <v>563</v>
      </c>
      <c r="B41" t="s">
        <v>63</v>
      </c>
      <c r="C41">
        <v>28</v>
      </c>
      <c r="D41" t="s">
        <v>16</v>
      </c>
      <c r="E41" t="s">
        <v>23</v>
      </c>
      <c r="F41">
        <v>582</v>
      </c>
      <c r="G41" t="s">
        <v>21</v>
      </c>
    </row>
    <row r="42" spans="1:7" x14ac:dyDescent="0.25">
      <c r="A42" t="s">
        <v>564</v>
      </c>
      <c r="B42" t="s">
        <v>64</v>
      </c>
      <c r="C42">
        <v>23</v>
      </c>
      <c r="D42" t="s">
        <v>16</v>
      </c>
      <c r="E42" t="s">
        <v>23</v>
      </c>
      <c r="F42">
        <v>647</v>
      </c>
      <c r="G42" t="s">
        <v>21</v>
      </c>
    </row>
    <row r="43" spans="1:7" x14ac:dyDescent="0.25">
      <c r="A43" t="s">
        <v>565</v>
      </c>
      <c r="B43" t="s">
        <v>65</v>
      </c>
      <c r="C43">
        <v>59</v>
      </c>
      <c r="D43" t="s">
        <v>16</v>
      </c>
      <c r="E43" t="s">
        <v>20</v>
      </c>
      <c r="F43">
        <v>598</v>
      </c>
      <c r="G43" t="s">
        <v>21</v>
      </c>
    </row>
    <row r="44" spans="1:7" x14ac:dyDescent="0.25">
      <c r="A44" t="s">
        <v>566</v>
      </c>
      <c r="B44" t="s">
        <v>66</v>
      </c>
      <c r="C44">
        <v>30</v>
      </c>
      <c r="D44" t="s">
        <v>28</v>
      </c>
      <c r="E44" t="s">
        <v>17</v>
      </c>
      <c r="F44">
        <v>681</v>
      </c>
      <c r="G44" t="s">
        <v>26</v>
      </c>
    </row>
    <row r="45" spans="1:7" x14ac:dyDescent="0.25">
      <c r="A45" t="s">
        <v>567</v>
      </c>
      <c r="B45" t="s">
        <v>67</v>
      </c>
      <c r="C45">
        <v>36</v>
      </c>
      <c r="D45" t="s">
        <v>28</v>
      </c>
      <c r="E45" t="s">
        <v>17</v>
      </c>
      <c r="F45">
        <v>621</v>
      </c>
      <c r="G45" t="s">
        <v>21</v>
      </c>
    </row>
    <row r="46" spans="1:7" x14ac:dyDescent="0.25">
      <c r="A46" t="s">
        <v>568</v>
      </c>
      <c r="B46" t="s">
        <v>68</v>
      </c>
      <c r="C46">
        <v>25</v>
      </c>
      <c r="D46" t="s">
        <v>16</v>
      </c>
      <c r="E46" t="s">
        <v>20</v>
      </c>
      <c r="F46">
        <v>773</v>
      </c>
      <c r="G46" t="s">
        <v>18</v>
      </c>
    </row>
    <row r="47" spans="1:7" x14ac:dyDescent="0.25">
      <c r="A47" t="s">
        <v>569</v>
      </c>
      <c r="B47" t="s">
        <v>69</v>
      </c>
      <c r="C47">
        <v>24</v>
      </c>
      <c r="D47" t="s">
        <v>16</v>
      </c>
      <c r="E47" t="s">
        <v>17</v>
      </c>
      <c r="F47">
        <v>755</v>
      </c>
      <c r="G47" t="s">
        <v>18</v>
      </c>
    </row>
    <row r="48" spans="1:7" x14ac:dyDescent="0.25">
      <c r="A48" t="s">
        <v>570</v>
      </c>
      <c r="B48" t="s">
        <v>70</v>
      </c>
      <c r="C48">
        <v>28</v>
      </c>
      <c r="D48" t="s">
        <v>28</v>
      </c>
      <c r="E48" t="s">
        <v>20</v>
      </c>
      <c r="F48">
        <v>798</v>
      </c>
      <c r="G48" t="s">
        <v>18</v>
      </c>
    </row>
    <row r="49" spans="1:7" x14ac:dyDescent="0.25">
      <c r="A49" t="s">
        <v>571</v>
      </c>
      <c r="B49" t="s">
        <v>71</v>
      </c>
      <c r="C49">
        <v>47</v>
      </c>
      <c r="D49" t="s">
        <v>16</v>
      </c>
      <c r="E49" t="s">
        <v>17</v>
      </c>
      <c r="F49">
        <v>614</v>
      </c>
      <c r="G49" t="s">
        <v>21</v>
      </c>
    </row>
    <row r="50" spans="1:7" x14ac:dyDescent="0.25">
      <c r="A50" t="s">
        <v>572</v>
      </c>
      <c r="B50" t="s">
        <v>72</v>
      </c>
      <c r="C50">
        <v>39</v>
      </c>
      <c r="D50" t="s">
        <v>16</v>
      </c>
      <c r="E50" t="s">
        <v>20</v>
      </c>
      <c r="F50">
        <v>835</v>
      </c>
      <c r="G50" t="s">
        <v>18</v>
      </c>
    </row>
    <row r="51" spans="1:7" x14ac:dyDescent="0.25">
      <c r="A51" t="s">
        <v>573</v>
      </c>
      <c r="B51" t="s">
        <v>73</v>
      </c>
      <c r="C51">
        <v>64</v>
      </c>
      <c r="D51" t="s">
        <v>28</v>
      </c>
      <c r="E51" t="s">
        <v>23</v>
      </c>
      <c r="F51">
        <v>727</v>
      </c>
      <c r="G51" t="s">
        <v>32</v>
      </c>
    </row>
    <row r="52" spans="1:7" x14ac:dyDescent="0.25">
      <c r="A52" t="s">
        <v>574</v>
      </c>
      <c r="B52" t="s">
        <v>74</v>
      </c>
      <c r="C52">
        <v>35</v>
      </c>
      <c r="D52" t="s">
        <v>16</v>
      </c>
      <c r="E52" t="s">
        <v>23</v>
      </c>
      <c r="F52">
        <v>746</v>
      </c>
      <c r="G52" t="s">
        <v>32</v>
      </c>
    </row>
    <row r="53" spans="1:7" x14ac:dyDescent="0.25">
      <c r="A53" t="s">
        <v>575</v>
      </c>
      <c r="B53" t="s">
        <v>75</v>
      </c>
      <c r="C53">
        <v>44</v>
      </c>
      <c r="D53" t="s">
        <v>16</v>
      </c>
      <c r="E53" t="s">
        <v>20</v>
      </c>
      <c r="F53">
        <v>773</v>
      </c>
      <c r="G53" t="s">
        <v>18</v>
      </c>
    </row>
    <row r="54" spans="1:7" x14ac:dyDescent="0.25">
      <c r="A54" t="s">
        <v>576</v>
      </c>
      <c r="B54" t="s">
        <v>76</v>
      </c>
      <c r="C54">
        <v>52</v>
      </c>
      <c r="D54" t="s">
        <v>16</v>
      </c>
      <c r="E54" t="s">
        <v>23</v>
      </c>
      <c r="F54">
        <v>676</v>
      </c>
      <c r="G54" t="s">
        <v>26</v>
      </c>
    </row>
    <row r="55" spans="1:7" x14ac:dyDescent="0.25">
      <c r="A55" t="s">
        <v>577</v>
      </c>
      <c r="B55" t="s">
        <v>77</v>
      </c>
      <c r="C55">
        <v>31</v>
      </c>
      <c r="D55" t="s">
        <v>28</v>
      </c>
      <c r="E55" t="s">
        <v>17</v>
      </c>
      <c r="F55">
        <v>793</v>
      </c>
      <c r="G55" t="s">
        <v>18</v>
      </c>
    </row>
    <row r="56" spans="1:7" x14ac:dyDescent="0.25">
      <c r="A56" t="s">
        <v>578</v>
      </c>
      <c r="B56" t="s">
        <v>78</v>
      </c>
      <c r="C56">
        <v>53</v>
      </c>
      <c r="D56" t="s">
        <v>28</v>
      </c>
      <c r="E56" t="s">
        <v>17</v>
      </c>
      <c r="F56">
        <v>557</v>
      </c>
      <c r="G56" t="s">
        <v>21</v>
      </c>
    </row>
    <row r="57" spans="1:7" x14ac:dyDescent="0.25">
      <c r="A57" t="s">
        <v>579</v>
      </c>
      <c r="B57" t="s">
        <v>79</v>
      </c>
      <c r="C57">
        <v>58</v>
      </c>
      <c r="D57" t="s">
        <v>28</v>
      </c>
      <c r="E57" t="s">
        <v>20</v>
      </c>
      <c r="F57">
        <v>665</v>
      </c>
      <c r="G57" t="s">
        <v>26</v>
      </c>
    </row>
    <row r="58" spans="1:7" x14ac:dyDescent="0.25">
      <c r="A58" t="s">
        <v>580</v>
      </c>
      <c r="B58" t="s">
        <v>80</v>
      </c>
      <c r="C58">
        <v>58</v>
      </c>
      <c r="D58" t="s">
        <v>16</v>
      </c>
      <c r="E58" t="s">
        <v>20</v>
      </c>
      <c r="F58">
        <v>687</v>
      </c>
      <c r="G58" t="s">
        <v>26</v>
      </c>
    </row>
    <row r="59" spans="1:7" x14ac:dyDescent="0.25">
      <c r="A59" t="s">
        <v>581</v>
      </c>
      <c r="B59" t="s">
        <v>81</v>
      </c>
      <c r="C59">
        <v>65</v>
      </c>
      <c r="D59" t="s">
        <v>16</v>
      </c>
      <c r="E59" t="s">
        <v>20</v>
      </c>
      <c r="F59">
        <v>842</v>
      </c>
      <c r="G59" t="s">
        <v>18</v>
      </c>
    </row>
    <row r="60" spans="1:7" x14ac:dyDescent="0.25">
      <c r="A60" t="s">
        <v>582</v>
      </c>
      <c r="B60" t="s">
        <v>82</v>
      </c>
      <c r="C60">
        <v>37</v>
      </c>
      <c r="D60" t="s">
        <v>16</v>
      </c>
      <c r="E60" t="s">
        <v>17</v>
      </c>
      <c r="F60">
        <v>584</v>
      </c>
      <c r="G60" t="s">
        <v>21</v>
      </c>
    </row>
    <row r="61" spans="1:7" x14ac:dyDescent="0.25">
      <c r="A61" t="s">
        <v>583</v>
      </c>
      <c r="B61" t="s">
        <v>83</v>
      </c>
      <c r="C61">
        <v>63</v>
      </c>
      <c r="D61" t="s">
        <v>16</v>
      </c>
      <c r="E61" t="s">
        <v>23</v>
      </c>
      <c r="F61">
        <v>563</v>
      </c>
      <c r="G61" t="s">
        <v>21</v>
      </c>
    </row>
    <row r="62" spans="1:7" x14ac:dyDescent="0.25">
      <c r="A62" t="s">
        <v>584</v>
      </c>
      <c r="B62" t="s">
        <v>84</v>
      </c>
      <c r="C62">
        <v>30</v>
      </c>
      <c r="D62" t="s">
        <v>28</v>
      </c>
      <c r="E62" t="s">
        <v>23</v>
      </c>
      <c r="F62">
        <v>570</v>
      </c>
      <c r="G62" t="s">
        <v>21</v>
      </c>
    </row>
    <row r="63" spans="1:7" x14ac:dyDescent="0.25">
      <c r="A63" t="s">
        <v>585</v>
      </c>
      <c r="B63" t="s">
        <v>85</v>
      </c>
      <c r="C63">
        <v>24</v>
      </c>
      <c r="D63" t="s">
        <v>28</v>
      </c>
      <c r="E63" t="s">
        <v>17</v>
      </c>
      <c r="F63">
        <v>660</v>
      </c>
      <c r="G63" t="s">
        <v>26</v>
      </c>
    </row>
    <row r="64" spans="1:7" x14ac:dyDescent="0.25">
      <c r="A64" t="s">
        <v>586</v>
      </c>
      <c r="B64" t="s">
        <v>86</v>
      </c>
      <c r="C64">
        <v>55</v>
      </c>
      <c r="D64" t="s">
        <v>16</v>
      </c>
      <c r="E64" t="s">
        <v>20</v>
      </c>
      <c r="F64">
        <v>656</v>
      </c>
      <c r="G64" t="s">
        <v>26</v>
      </c>
    </row>
    <row r="65" spans="1:7" x14ac:dyDescent="0.25">
      <c r="A65" t="s">
        <v>587</v>
      </c>
      <c r="B65" t="s">
        <v>87</v>
      </c>
      <c r="C65">
        <v>48</v>
      </c>
      <c r="D65" t="s">
        <v>16</v>
      </c>
      <c r="E65" t="s">
        <v>23</v>
      </c>
      <c r="F65">
        <v>631</v>
      </c>
      <c r="G65" t="s">
        <v>21</v>
      </c>
    </row>
    <row r="66" spans="1:7" x14ac:dyDescent="0.25">
      <c r="A66" t="s">
        <v>588</v>
      </c>
      <c r="B66" t="s">
        <v>88</v>
      </c>
      <c r="C66">
        <v>25</v>
      </c>
      <c r="D66" t="s">
        <v>28</v>
      </c>
      <c r="E66" t="s">
        <v>17</v>
      </c>
      <c r="F66">
        <v>569</v>
      </c>
      <c r="G66" t="s">
        <v>21</v>
      </c>
    </row>
    <row r="67" spans="1:7" x14ac:dyDescent="0.25">
      <c r="A67" t="s">
        <v>589</v>
      </c>
      <c r="B67" t="s">
        <v>89</v>
      </c>
      <c r="C67">
        <v>32</v>
      </c>
      <c r="D67" t="s">
        <v>16</v>
      </c>
      <c r="E67" t="s">
        <v>17</v>
      </c>
      <c r="F67">
        <v>683</v>
      </c>
      <c r="G67" t="s">
        <v>26</v>
      </c>
    </row>
    <row r="68" spans="1:7" x14ac:dyDescent="0.25">
      <c r="A68" t="s">
        <v>590</v>
      </c>
      <c r="B68" t="s">
        <v>90</v>
      </c>
      <c r="C68">
        <v>27</v>
      </c>
      <c r="D68" t="s">
        <v>16</v>
      </c>
      <c r="E68" t="s">
        <v>17</v>
      </c>
      <c r="F68">
        <v>718</v>
      </c>
      <c r="G68" t="s">
        <v>32</v>
      </c>
    </row>
    <row r="69" spans="1:7" x14ac:dyDescent="0.25">
      <c r="A69" t="s">
        <v>591</v>
      </c>
      <c r="B69" t="s">
        <v>91</v>
      </c>
      <c r="C69">
        <v>31</v>
      </c>
      <c r="D69" t="s">
        <v>16</v>
      </c>
      <c r="E69" t="s">
        <v>17</v>
      </c>
      <c r="F69">
        <v>698</v>
      </c>
      <c r="G69" t="s">
        <v>26</v>
      </c>
    </row>
    <row r="70" spans="1:7" x14ac:dyDescent="0.25">
      <c r="A70" t="s">
        <v>592</v>
      </c>
      <c r="B70" t="s">
        <v>92</v>
      </c>
      <c r="C70">
        <v>29</v>
      </c>
      <c r="D70" t="s">
        <v>28</v>
      </c>
      <c r="E70" t="s">
        <v>23</v>
      </c>
      <c r="F70">
        <v>778</v>
      </c>
      <c r="G70" t="s">
        <v>18</v>
      </c>
    </row>
    <row r="71" spans="1:7" x14ac:dyDescent="0.25">
      <c r="A71" t="s">
        <v>593</v>
      </c>
      <c r="B71" t="s">
        <v>93</v>
      </c>
      <c r="C71">
        <v>35</v>
      </c>
      <c r="D71" t="s">
        <v>16</v>
      </c>
      <c r="E71" t="s">
        <v>17</v>
      </c>
      <c r="F71">
        <v>684</v>
      </c>
      <c r="G71" t="s">
        <v>26</v>
      </c>
    </row>
    <row r="72" spans="1:7" x14ac:dyDescent="0.25">
      <c r="A72" t="s">
        <v>594</v>
      </c>
      <c r="B72" t="s">
        <v>94</v>
      </c>
      <c r="C72">
        <v>31</v>
      </c>
      <c r="D72" t="s">
        <v>28</v>
      </c>
      <c r="E72" t="s">
        <v>20</v>
      </c>
      <c r="F72">
        <v>672</v>
      </c>
      <c r="G72" t="s">
        <v>26</v>
      </c>
    </row>
    <row r="73" spans="1:7" x14ac:dyDescent="0.25">
      <c r="A73" t="s">
        <v>595</v>
      </c>
      <c r="B73" t="s">
        <v>95</v>
      </c>
      <c r="C73">
        <v>23</v>
      </c>
      <c r="D73" t="s">
        <v>16</v>
      </c>
      <c r="E73" t="s">
        <v>20</v>
      </c>
      <c r="F73">
        <v>579</v>
      </c>
      <c r="G73" t="s">
        <v>21</v>
      </c>
    </row>
    <row r="74" spans="1:7" x14ac:dyDescent="0.25">
      <c r="A74" t="s">
        <v>596</v>
      </c>
      <c r="B74" t="s">
        <v>96</v>
      </c>
      <c r="C74">
        <v>26</v>
      </c>
      <c r="D74" t="s">
        <v>16</v>
      </c>
      <c r="E74" t="s">
        <v>20</v>
      </c>
      <c r="F74">
        <v>704</v>
      </c>
      <c r="G74" t="s">
        <v>32</v>
      </c>
    </row>
    <row r="75" spans="1:7" x14ac:dyDescent="0.25">
      <c r="A75" t="s">
        <v>597</v>
      </c>
      <c r="B75" t="s">
        <v>97</v>
      </c>
      <c r="C75">
        <v>63</v>
      </c>
      <c r="D75" t="s">
        <v>28</v>
      </c>
      <c r="E75" t="s">
        <v>23</v>
      </c>
      <c r="F75">
        <v>800</v>
      </c>
      <c r="G75" t="s">
        <v>18</v>
      </c>
    </row>
    <row r="76" spans="1:7" x14ac:dyDescent="0.25">
      <c r="A76" t="s">
        <v>598</v>
      </c>
      <c r="B76" t="s">
        <v>98</v>
      </c>
      <c r="C76">
        <v>50</v>
      </c>
      <c r="D76" t="s">
        <v>28</v>
      </c>
      <c r="E76" t="s">
        <v>23</v>
      </c>
      <c r="F76">
        <v>622</v>
      </c>
      <c r="G76" t="s">
        <v>21</v>
      </c>
    </row>
    <row r="77" spans="1:7" x14ac:dyDescent="0.25">
      <c r="A77" t="s">
        <v>599</v>
      </c>
      <c r="B77" t="s">
        <v>99</v>
      </c>
      <c r="C77">
        <v>51</v>
      </c>
      <c r="D77" t="s">
        <v>16</v>
      </c>
      <c r="E77" t="s">
        <v>23</v>
      </c>
      <c r="F77">
        <v>691</v>
      </c>
      <c r="G77" t="s">
        <v>26</v>
      </c>
    </row>
    <row r="78" spans="1:7" x14ac:dyDescent="0.25">
      <c r="A78" t="s">
        <v>600</v>
      </c>
      <c r="B78" t="s">
        <v>100</v>
      </c>
      <c r="C78">
        <v>54</v>
      </c>
      <c r="D78" t="s">
        <v>16</v>
      </c>
      <c r="E78" t="s">
        <v>20</v>
      </c>
      <c r="F78">
        <v>800</v>
      </c>
      <c r="G78" t="s">
        <v>18</v>
      </c>
    </row>
    <row r="79" spans="1:7" x14ac:dyDescent="0.25">
      <c r="A79" t="s">
        <v>601</v>
      </c>
      <c r="B79" t="s">
        <v>101</v>
      </c>
      <c r="C79">
        <v>29</v>
      </c>
      <c r="D79" t="s">
        <v>16</v>
      </c>
      <c r="E79" t="s">
        <v>17</v>
      </c>
      <c r="F79">
        <v>792</v>
      </c>
      <c r="G79" t="s">
        <v>18</v>
      </c>
    </row>
    <row r="80" spans="1:7" x14ac:dyDescent="0.25">
      <c r="A80" t="s">
        <v>602</v>
      </c>
      <c r="B80" t="s">
        <v>102</v>
      </c>
      <c r="C80">
        <v>60</v>
      </c>
      <c r="D80" t="s">
        <v>16</v>
      </c>
      <c r="E80" t="s">
        <v>17</v>
      </c>
      <c r="F80">
        <v>575</v>
      </c>
      <c r="G80" t="s">
        <v>21</v>
      </c>
    </row>
    <row r="81" spans="1:7" x14ac:dyDescent="0.25">
      <c r="A81" t="s">
        <v>603</v>
      </c>
      <c r="B81" t="s">
        <v>103</v>
      </c>
      <c r="C81">
        <v>37</v>
      </c>
      <c r="D81" t="s">
        <v>16</v>
      </c>
      <c r="E81" t="s">
        <v>20</v>
      </c>
      <c r="F81">
        <v>658</v>
      </c>
      <c r="G81" t="s">
        <v>26</v>
      </c>
    </row>
    <row r="82" spans="1:7" x14ac:dyDescent="0.25">
      <c r="A82" t="s">
        <v>604</v>
      </c>
      <c r="B82" t="s">
        <v>104</v>
      </c>
      <c r="C82">
        <v>49</v>
      </c>
      <c r="D82" t="s">
        <v>16</v>
      </c>
      <c r="E82" t="s">
        <v>23</v>
      </c>
      <c r="F82">
        <v>670</v>
      </c>
      <c r="G82" t="s">
        <v>26</v>
      </c>
    </row>
    <row r="83" spans="1:7" x14ac:dyDescent="0.25">
      <c r="A83" t="s">
        <v>605</v>
      </c>
      <c r="B83" t="s">
        <v>105</v>
      </c>
      <c r="C83">
        <v>26</v>
      </c>
      <c r="D83" t="s">
        <v>16</v>
      </c>
      <c r="E83" t="s">
        <v>23</v>
      </c>
      <c r="F83">
        <v>620</v>
      </c>
      <c r="G83" t="s">
        <v>21</v>
      </c>
    </row>
    <row r="84" spans="1:7" x14ac:dyDescent="0.25">
      <c r="A84" t="s">
        <v>606</v>
      </c>
      <c r="B84" t="s">
        <v>106</v>
      </c>
      <c r="C84">
        <v>38</v>
      </c>
      <c r="D84" t="s">
        <v>16</v>
      </c>
      <c r="E84" t="s">
        <v>17</v>
      </c>
      <c r="F84">
        <v>626</v>
      </c>
      <c r="G84" t="s">
        <v>21</v>
      </c>
    </row>
    <row r="85" spans="1:7" x14ac:dyDescent="0.25">
      <c r="A85" t="s">
        <v>607</v>
      </c>
      <c r="B85" t="s">
        <v>107</v>
      </c>
      <c r="C85">
        <v>25</v>
      </c>
      <c r="D85" t="s">
        <v>28</v>
      </c>
      <c r="E85" t="s">
        <v>20</v>
      </c>
      <c r="F85">
        <v>679</v>
      </c>
      <c r="G85" t="s">
        <v>26</v>
      </c>
    </row>
    <row r="86" spans="1:7" x14ac:dyDescent="0.25">
      <c r="A86" t="s">
        <v>608</v>
      </c>
      <c r="B86" t="s">
        <v>108</v>
      </c>
      <c r="C86">
        <v>55</v>
      </c>
      <c r="D86" t="s">
        <v>28</v>
      </c>
      <c r="E86" t="s">
        <v>20</v>
      </c>
      <c r="F86">
        <v>693</v>
      </c>
      <c r="G86" t="s">
        <v>26</v>
      </c>
    </row>
    <row r="87" spans="1:7" x14ac:dyDescent="0.25">
      <c r="A87" t="s">
        <v>609</v>
      </c>
      <c r="B87" t="s">
        <v>109</v>
      </c>
      <c r="C87">
        <v>60</v>
      </c>
      <c r="D87" t="s">
        <v>16</v>
      </c>
      <c r="E87" t="s">
        <v>23</v>
      </c>
      <c r="F87">
        <v>610</v>
      </c>
      <c r="G87" t="s">
        <v>21</v>
      </c>
    </row>
    <row r="88" spans="1:7" x14ac:dyDescent="0.25">
      <c r="A88" t="s">
        <v>610</v>
      </c>
      <c r="B88" t="s">
        <v>110</v>
      </c>
      <c r="C88">
        <v>25</v>
      </c>
      <c r="D88" t="s">
        <v>16</v>
      </c>
      <c r="E88" t="s">
        <v>20</v>
      </c>
      <c r="F88">
        <v>604</v>
      </c>
      <c r="G88" t="s">
        <v>21</v>
      </c>
    </row>
    <row r="89" spans="1:7" x14ac:dyDescent="0.25">
      <c r="A89" t="s">
        <v>611</v>
      </c>
      <c r="B89" t="s">
        <v>111</v>
      </c>
      <c r="C89">
        <v>40</v>
      </c>
      <c r="D89" t="s">
        <v>28</v>
      </c>
      <c r="E89" t="s">
        <v>17</v>
      </c>
      <c r="F89">
        <v>758</v>
      </c>
      <c r="G89" t="s">
        <v>18</v>
      </c>
    </row>
    <row r="90" spans="1:7" x14ac:dyDescent="0.25">
      <c r="A90" t="s">
        <v>612</v>
      </c>
      <c r="B90" t="s">
        <v>112</v>
      </c>
      <c r="C90">
        <v>46</v>
      </c>
      <c r="D90" t="s">
        <v>28</v>
      </c>
      <c r="E90" t="s">
        <v>17</v>
      </c>
      <c r="F90">
        <v>745</v>
      </c>
      <c r="G90" t="s">
        <v>32</v>
      </c>
    </row>
    <row r="91" spans="1:7" x14ac:dyDescent="0.25">
      <c r="A91" t="s">
        <v>613</v>
      </c>
      <c r="B91" t="s">
        <v>113</v>
      </c>
      <c r="C91">
        <v>26</v>
      </c>
      <c r="D91" t="s">
        <v>28</v>
      </c>
      <c r="E91" t="s">
        <v>23</v>
      </c>
      <c r="F91">
        <v>608</v>
      </c>
      <c r="G91" t="s">
        <v>21</v>
      </c>
    </row>
    <row r="92" spans="1:7" x14ac:dyDescent="0.25">
      <c r="A92" t="s">
        <v>614</v>
      </c>
      <c r="B92" t="s">
        <v>114</v>
      </c>
      <c r="C92">
        <v>21</v>
      </c>
      <c r="D92" t="s">
        <v>28</v>
      </c>
      <c r="E92" t="s">
        <v>20</v>
      </c>
      <c r="F92">
        <v>685</v>
      </c>
      <c r="G92" t="s">
        <v>26</v>
      </c>
    </row>
    <row r="93" spans="1:7" x14ac:dyDescent="0.25">
      <c r="A93" t="s">
        <v>615</v>
      </c>
      <c r="B93" t="s">
        <v>115</v>
      </c>
      <c r="C93">
        <v>43</v>
      </c>
      <c r="D93" t="s">
        <v>16</v>
      </c>
      <c r="E93" t="s">
        <v>23</v>
      </c>
      <c r="F93">
        <v>606</v>
      </c>
      <c r="G93" t="s">
        <v>21</v>
      </c>
    </row>
    <row r="94" spans="1:7" x14ac:dyDescent="0.25">
      <c r="A94" t="s">
        <v>616</v>
      </c>
      <c r="B94" t="s">
        <v>116</v>
      </c>
      <c r="C94">
        <v>29</v>
      </c>
      <c r="D94" t="s">
        <v>28</v>
      </c>
      <c r="E94" t="s">
        <v>17</v>
      </c>
      <c r="F94">
        <v>718</v>
      </c>
      <c r="G94" t="s">
        <v>32</v>
      </c>
    </row>
    <row r="95" spans="1:7" x14ac:dyDescent="0.25">
      <c r="A95" t="s">
        <v>617</v>
      </c>
      <c r="B95" t="s">
        <v>117</v>
      </c>
      <c r="C95">
        <v>39</v>
      </c>
      <c r="D95" t="s">
        <v>16</v>
      </c>
      <c r="E95" t="s">
        <v>17</v>
      </c>
      <c r="F95">
        <v>820</v>
      </c>
      <c r="G95" t="s">
        <v>18</v>
      </c>
    </row>
    <row r="96" spans="1:7" x14ac:dyDescent="0.25">
      <c r="A96" t="s">
        <v>618</v>
      </c>
      <c r="B96" t="s">
        <v>118</v>
      </c>
      <c r="C96">
        <v>38</v>
      </c>
      <c r="D96" t="s">
        <v>16</v>
      </c>
      <c r="E96" t="s">
        <v>20</v>
      </c>
      <c r="F96">
        <v>568</v>
      </c>
      <c r="G96" t="s">
        <v>21</v>
      </c>
    </row>
    <row r="97" spans="1:7" x14ac:dyDescent="0.25">
      <c r="A97" t="s">
        <v>619</v>
      </c>
      <c r="B97" t="s">
        <v>119</v>
      </c>
      <c r="C97">
        <v>29</v>
      </c>
      <c r="D97" t="s">
        <v>28</v>
      </c>
      <c r="E97" t="s">
        <v>17</v>
      </c>
      <c r="F97">
        <v>594</v>
      </c>
      <c r="G97" t="s">
        <v>21</v>
      </c>
    </row>
    <row r="98" spans="1:7" x14ac:dyDescent="0.25">
      <c r="A98" t="s">
        <v>620</v>
      </c>
      <c r="B98" t="s">
        <v>120</v>
      </c>
      <c r="C98">
        <v>41</v>
      </c>
      <c r="D98" t="s">
        <v>28</v>
      </c>
      <c r="E98" t="s">
        <v>17</v>
      </c>
      <c r="F98">
        <v>576</v>
      </c>
      <c r="G98" t="s">
        <v>21</v>
      </c>
    </row>
    <row r="99" spans="1:7" x14ac:dyDescent="0.25">
      <c r="A99" t="s">
        <v>621</v>
      </c>
      <c r="B99" t="s">
        <v>121</v>
      </c>
      <c r="C99">
        <v>48</v>
      </c>
      <c r="D99" t="s">
        <v>28</v>
      </c>
      <c r="E99" t="s">
        <v>20</v>
      </c>
      <c r="F99">
        <v>808</v>
      </c>
      <c r="G99" t="s">
        <v>18</v>
      </c>
    </row>
    <row r="100" spans="1:7" x14ac:dyDescent="0.25">
      <c r="A100" t="s">
        <v>622</v>
      </c>
      <c r="B100" t="s">
        <v>122</v>
      </c>
      <c r="C100">
        <v>35</v>
      </c>
      <c r="D100" t="s">
        <v>28</v>
      </c>
      <c r="E100" t="s">
        <v>20</v>
      </c>
      <c r="F100">
        <v>812</v>
      </c>
      <c r="G100" t="s">
        <v>18</v>
      </c>
    </row>
    <row r="101" spans="1:7" x14ac:dyDescent="0.25">
      <c r="A101" t="s">
        <v>623</v>
      </c>
      <c r="B101" t="s">
        <v>123</v>
      </c>
      <c r="C101">
        <v>49</v>
      </c>
      <c r="D101" t="s">
        <v>16</v>
      </c>
      <c r="E101" t="s">
        <v>23</v>
      </c>
      <c r="F101">
        <v>727</v>
      </c>
      <c r="G101" t="s">
        <v>32</v>
      </c>
    </row>
    <row r="102" spans="1:7" x14ac:dyDescent="0.25">
      <c r="A102" t="s">
        <v>624</v>
      </c>
      <c r="B102" t="s">
        <v>124</v>
      </c>
      <c r="C102">
        <v>37</v>
      </c>
      <c r="D102" t="s">
        <v>16</v>
      </c>
      <c r="E102" t="s">
        <v>20</v>
      </c>
      <c r="F102">
        <v>656</v>
      </c>
      <c r="G102" t="s">
        <v>26</v>
      </c>
    </row>
    <row r="103" spans="1:7" x14ac:dyDescent="0.25">
      <c r="A103" t="s">
        <v>625</v>
      </c>
      <c r="B103" t="s">
        <v>125</v>
      </c>
      <c r="C103">
        <v>37</v>
      </c>
      <c r="D103" t="s">
        <v>16</v>
      </c>
      <c r="E103" t="s">
        <v>20</v>
      </c>
      <c r="F103">
        <v>821</v>
      </c>
      <c r="G103" t="s">
        <v>18</v>
      </c>
    </row>
    <row r="104" spans="1:7" x14ac:dyDescent="0.25">
      <c r="A104" t="s">
        <v>626</v>
      </c>
      <c r="B104" t="s">
        <v>126</v>
      </c>
      <c r="C104">
        <v>39</v>
      </c>
      <c r="D104" t="s">
        <v>28</v>
      </c>
      <c r="E104" t="s">
        <v>23</v>
      </c>
      <c r="F104">
        <v>740</v>
      </c>
      <c r="G104" t="s">
        <v>32</v>
      </c>
    </row>
    <row r="105" spans="1:7" x14ac:dyDescent="0.25">
      <c r="A105" t="s">
        <v>627</v>
      </c>
      <c r="B105" t="s">
        <v>127</v>
      </c>
      <c r="C105">
        <v>47</v>
      </c>
      <c r="D105" t="s">
        <v>16</v>
      </c>
      <c r="E105" t="s">
        <v>17</v>
      </c>
      <c r="F105">
        <v>577</v>
      </c>
      <c r="G105" t="s">
        <v>21</v>
      </c>
    </row>
    <row r="106" spans="1:7" x14ac:dyDescent="0.25">
      <c r="A106" t="s">
        <v>628</v>
      </c>
      <c r="B106" t="s">
        <v>128</v>
      </c>
      <c r="C106">
        <v>32</v>
      </c>
      <c r="D106" t="s">
        <v>16</v>
      </c>
      <c r="E106" t="s">
        <v>23</v>
      </c>
      <c r="F106">
        <v>767</v>
      </c>
      <c r="G106" t="s">
        <v>18</v>
      </c>
    </row>
    <row r="107" spans="1:7" x14ac:dyDescent="0.25">
      <c r="A107" t="s">
        <v>629</v>
      </c>
      <c r="B107" t="s">
        <v>129</v>
      </c>
      <c r="C107">
        <v>65</v>
      </c>
      <c r="D107" t="s">
        <v>16</v>
      </c>
      <c r="E107" t="s">
        <v>20</v>
      </c>
      <c r="F107">
        <v>793</v>
      </c>
      <c r="G107" t="s">
        <v>18</v>
      </c>
    </row>
    <row r="108" spans="1:7" x14ac:dyDescent="0.25">
      <c r="A108" t="s">
        <v>630</v>
      </c>
      <c r="B108" t="s">
        <v>130</v>
      </c>
      <c r="C108">
        <v>62</v>
      </c>
      <c r="D108" t="s">
        <v>28</v>
      </c>
      <c r="E108" t="s">
        <v>20</v>
      </c>
      <c r="F108">
        <v>701</v>
      </c>
      <c r="G108" t="s">
        <v>32</v>
      </c>
    </row>
    <row r="109" spans="1:7" x14ac:dyDescent="0.25">
      <c r="A109" t="s">
        <v>631</v>
      </c>
      <c r="B109" t="s">
        <v>131</v>
      </c>
      <c r="C109">
        <v>30</v>
      </c>
      <c r="D109" t="s">
        <v>16</v>
      </c>
      <c r="E109" t="s">
        <v>17</v>
      </c>
      <c r="F109">
        <v>563</v>
      </c>
      <c r="G109" t="s">
        <v>21</v>
      </c>
    </row>
    <row r="110" spans="1:7" x14ac:dyDescent="0.25">
      <c r="A110" t="s">
        <v>632</v>
      </c>
      <c r="B110" t="s">
        <v>132</v>
      </c>
      <c r="C110">
        <v>50</v>
      </c>
      <c r="D110" t="s">
        <v>28</v>
      </c>
      <c r="E110" t="s">
        <v>17</v>
      </c>
      <c r="F110">
        <v>684</v>
      </c>
      <c r="G110" t="s">
        <v>26</v>
      </c>
    </row>
    <row r="111" spans="1:7" x14ac:dyDescent="0.25">
      <c r="A111" t="s">
        <v>633</v>
      </c>
      <c r="B111" t="s">
        <v>133</v>
      </c>
      <c r="C111">
        <v>27</v>
      </c>
      <c r="D111" t="s">
        <v>28</v>
      </c>
      <c r="E111" t="s">
        <v>20</v>
      </c>
      <c r="F111">
        <v>575</v>
      </c>
      <c r="G111" t="s">
        <v>21</v>
      </c>
    </row>
    <row r="112" spans="1:7" x14ac:dyDescent="0.25">
      <c r="A112" t="s">
        <v>634</v>
      </c>
      <c r="B112" t="s">
        <v>134</v>
      </c>
      <c r="C112">
        <v>58</v>
      </c>
      <c r="D112" t="s">
        <v>28</v>
      </c>
      <c r="E112" t="s">
        <v>17</v>
      </c>
      <c r="F112">
        <v>661</v>
      </c>
      <c r="G112" t="s">
        <v>26</v>
      </c>
    </row>
    <row r="113" spans="1:7" x14ac:dyDescent="0.25">
      <c r="A113" t="s">
        <v>635</v>
      </c>
      <c r="B113" t="s">
        <v>135</v>
      </c>
      <c r="C113">
        <v>48</v>
      </c>
      <c r="D113" t="s">
        <v>28</v>
      </c>
      <c r="E113" t="s">
        <v>23</v>
      </c>
      <c r="F113">
        <v>791</v>
      </c>
      <c r="G113" t="s">
        <v>18</v>
      </c>
    </row>
    <row r="114" spans="1:7" x14ac:dyDescent="0.25">
      <c r="A114" t="s">
        <v>636</v>
      </c>
      <c r="B114" t="s">
        <v>136</v>
      </c>
      <c r="C114">
        <v>44</v>
      </c>
      <c r="D114" t="s">
        <v>28</v>
      </c>
      <c r="E114" t="s">
        <v>17</v>
      </c>
      <c r="F114">
        <v>605</v>
      </c>
      <c r="G114" t="s">
        <v>21</v>
      </c>
    </row>
    <row r="115" spans="1:7" x14ac:dyDescent="0.25">
      <c r="A115" t="s">
        <v>637</v>
      </c>
      <c r="B115" t="s">
        <v>137</v>
      </c>
      <c r="C115">
        <v>46</v>
      </c>
      <c r="D115" t="s">
        <v>16</v>
      </c>
      <c r="E115" t="s">
        <v>23</v>
      </c>
      <c r="F115">
        <v>833</v>
      </c>
      <c r="G115" t="s">
        <v>18</v>
      </c>
    </row>
    <row r="116" spans="1:7" x14ac:dyDescent="0.25">
      <c r="A116" t="s">
        <v>638</v>
      </c>
      <c r="B116" t="s">
        <v>138</v>
      </c>
      <c r="C116">
        <v>24</v>
      </c>
      <c r="D116" t="s">
        <v>28</v>
      </c>
      <c r="E116" t="s">
        <v>17</v>
      </c>
      <c r="F116">
        <v>552</v>
      </c>
      <c r="G116" t="s">
        <v>21</v>
      </c>
    </row>
    <row r="117" spans="1:7" x14ac:dyDescent="0.25">
      <c r="A117" t="s">
        <v>639</v>
      </c>
      <c r="B117" t="s">
        <v>139</v>
      </c>
      <c r="C117">
        <v>46</v>
      </c>
      <c r="D117" t="s">
        <v>16</v>
      </c>
      <c r="E117" t="s">
        <v>23</v>
      </c>
      <c r="F117">
        <v>812</v>
      </c>
      <c r="G117" t="s">
        <v>18</v>
      </c>
    </row>
    <row r="118" spans="1:7" x14ac:dyDescent="0.25">
      <c r="A118" t="s">
        <v>640</v>
      </c>
      <c r="B118" t="s">
        <v>140</v>
      </c>
      <c r="C118">
        <v>46</v>
      </c>
      <c r="D118" t="s">
        <v>28</v>
      </c>
      <c r="E118" t="s">
        <v>23</v>
      </c>
      <c r="F118">
        <v>622</v>
      </c>
      <c r="G118" t="s">
        <v>21</v>
      </c>
    </row>
    <row r="119" spans="1:7" x14ac:dyDescent="0.25">
      <c r="A119" t="s">
        <v>641</v>
      </c>
      <c r="B119" t="s">
        <v>141</v>
      </c>
      <c r="C119">
        <v>37</v>
      </c>
      <c r="D119" t="s">
        <v>16</v>
      </c>
      <c r="E119" t="s">
        <v>23</v>
      </c>
      <c r="F119">
        <v>746</v>
      </c>
      <c r="G119" t="s">
        <v>32</v>
      </c>
    </row>
    <row r="120" spans="1:7" x14ac:dyDescent="0.25">
      <c r="A120" t="s">
        <v>642</v>
      </c>
      <c r="B120" t="s">
        <v>142</v>
      </c>
      <c r="C120">
        <v>51</v>
      </c>
      <c r="D120" t="s">
        <v>16</v>
      </c>
      <c r="E120" t="s">
        <v>23</v>
      </c>
      <c r="F120">
        <v>673</v>
      </c>
      <c r="G120" t="s">
        <v>26</v>
      </c>
    </row>
    <row r="121" spans="1:7" x14ac:dyDescent="0.25">
      <c r="A121" t="s">
        <v>643</v>
      </c>
      <c r="B121" t="s">
        <v>143</v>
      </c>
      <c r="C121">
        <v>24</v>
      </c>
      <c r="D121" t="s">
        <v>16</v>
      </c>
      <c r="E121" t="s">
        <v>17</v>
      </c>
      <c r="F121">
        <v>574</v>
      </c>
      <c r="G121" t="s">
        <v>21</v>
      </c>
    </row>
    <row r="122" spans="1:7" x14ac:dyDescent="0.25">
      <c r="A122" t="s">
        <v>644</v>
      </c>
      <c r="B122" t="s">
        <v>144</v>
      </c>
      <c r="C122">
        <v>64</v>
      </c>
      <c r="D122" t="s">
        <v>16</v>
      </c>
      <c r="E122" t="s">
        <v>17</v>
      </c>
      <c r="F122">
        <v>768</v>
      </c>
      <c r="G122" t="s">
        <v>18</v>
      </c>
    </row>
    <row r="123" spans="1:7" x14ac:dyDescent="0.25">
      <c r="A123" t="s">
        <v>645</v>
      </c>
      <c r="B123" t="s">
        <v>145</v>
      </c>
      <c r="C123">
        <v>45</v>
      </c>
      <c r="D123" t="s">
        <v>28</v>
      </c>
      <c r="E123" t="s">
        <v>17</v>
      </c>
      <c r="F123">
        <v>704</v>
      </c>
      <c r="G123" t="s">
        <v>32</v>
      </c>
    </row>
    <row r="124" spans="1:7" x14ac:dyDescent="0.25">
      <c r="A124" t="s">
        <v>646</v>
      </c>
      <c r="B124" t="s">
        <v>146</v>
      </c>
      <c r="C124">
        <v>60</v>
      </c>
      <c r="D124" t="s">
        <v>16</v>
      </c>
      <c r="E124" t="s">
        <v>17</v>
      </c>
      <c r="F124">
        <v>564</v>
      </c>
      <c r="G124" t="s">
        <v>21</v>
      </c>
    </row>
    <row r="125" spans="1:7" x14ac:dyDescent="0.25">
      <c r="A125" t="s">
        <v>647</v>
      </c>
      <c r="B125" t="s">
        <v>147</v>
      </c>
      <c r="C125">
        <v>61</v>
      </c>
      <c r="D125" t="s">
        <v>28</v>
      </c>
      <c r="E125" t="s">
        <v>23</v>
      </c>
      <c r="F125">
        <v>817</v>
      </c>
      <c r="G125" t="s">
        <v>18</v>
      </c>
    </row>
    <row r="126" spans="1:7" x14ac:dyDescent="0.25">
      <c r="A126" t="s">
        <v>648</v>
      </c>
      <c r="B126" t="s">
        <v>148</v>
      </c>
      <c r="C126">
        <v>33</v>
      </c>
      <c r="D126" t="s">
        <v>28</v>
      </c>
      <c r="E126" t="s">
        <v>17</v>
      </c>
      <c r="F126">
        <v>811</v>
      </c>
      <c r="G126" t="s">
        <v>18</v>
      </c>
    </row>
    <row r="127" spans="1:7" x14ac:dyDescent="0.25">
      <c r="A127" t="s">
        <v>649</v>
      </c>
      <c r="B127" t="s">
        <v>149</v>
      </c>
      <c r="C127">
        <v>57</v>
      </c>
      <c r="D127" t="s">
        <v>16</v>
      </c>
      <c r="E127" t="s">
        <v>23</v>
      </c>
      <c r="F127">
        <v>719</v>
      </c>
      <c r="G127" t="s">
        <v>32</v>
      </c>
    </row>
    <row r="128" spans="1:7" x14ac:dyDescent="0.25">
      <c r="A128" t="s">
        <v>650</v>
      </c>
      <c r="B128" t="s">
        <v>150</v>
      </c>
      <c r="C128">
        <v>53</v>
      </c>
      <c r="D128" t="s">
        <v>28</v>
      </c>
      <c r="E128" t="s">
        <v>17</v>
      </c>
      <c r="F128">
        <v>662</v>
      </c>
      <c r="G128" t="s">
        <v>26</v>
      </c>
    </row>
    <row r="129" spans="1:7" x14ac:dyDescent="0.25">
      <c r="A129" t="s">
        <v>651</v>
      </c>
      <c r="B129" t="s">
        <v>151</v>
      </c>
      <c r="C129">
        <v>30</v>
      </c>
      <c r="D129" t="s">
        <v>16</v>
      </c>
      <c r="E129" t="s">
        <v>20</v>
      </c>
      <c r="F129">
        <v>654</v>
      </c>
      <c r="G129" t="s">
        <v>26</v>
      </c>
    </row>
    <row r="130" spans="1:7" x14ac:dyDescent="0.25">
      <c r="A130" t="s">
        <v>652</v>
      </c>
      <c r="B130" t="s">
        <v>152</v>
      </c>
      <c r="C130">
        <v>21</v>
      </c>
      <c r="D130" t="s">
        <v>16</v>
      </c>
      <c r="E130" t="s">
        <v>23</v>
      </c>
      <c r="F130">
        <v>766</v>
      </c>
      <c r="G130" t="s">
        <v>18</v>
      </c>
    </row>
    <row r="131" spans="1:7" x14ac:dyDescent="0.25">
      <c r="A131" t="s">
        <v>653</v>
      </c>
      <c r="B131" t="s">
        <v>153</v>
      </c>
      <c r="C131">
        <v>63</v>
      </c>
      <c r="D131" t="s">
        <v>16</v>
      </c>
      <c r="E131" t="s">
        <v>20</v>
      </c>
      <c r="F131">
        <v>756</v>
      </c>
      <c r="G131" t="s">
        <v>18</v>
      </c>
    </row>
    <row r="132" spans="1:7" x14ac:dyDescent="0.25">
      <c r="A132" t="s">
        <v>654</v>
      </c>
      <c r="B132" t="s">
        <v>154</v>
      </c>
      <c r="C132">
        <v>44</v>
      </c>
      <c r="D132" t="s">
        <v>16</v>
      </c>
      <c r="E132" t="s">
        <v>17</v>
      </c>
      <c r="F132">
        <v>751</v>
      </c>
      <c r="G132" t="s">
        <v>18</v>
      </c>
    </row>
    <row r="133" spans="1:7" x14ac:dyDescent="0.25">
      <c r="A133" t="s">
        <v>655</v>
      </c>
      <c r="B133" t="s">
        <v>155</v>
      </c>
      <c r="C133">
        <v>58</v>
      </c>
      <c r="D133" t="s">
        <v>28</v>
      </c>
      <c r="E133" t="s">
        <v>17</v>
      </c>
      <c r="F133">
        <v>590</v>
      </c>
      <c r="G133" t="s">
        <v>21</v>
      </c>
    </row>
    <row r="134" spans="1:7" x14ac:dyDescent="0.25">
      <c r="A134" t="s">
        <v>656</v>
      </c>
      <c r="B134" t="s">
        <v>156</v>
      </c>
      <c r="C134">
        <v>44</v>
      </c>
      <c r="D134" t="s">
        <v>28</v>
      </c>
      <c r="E134" t="s">
        <v>17</v>
      </c>
      <c r="F134">
        <v>678</v>
      </c>
      <c r="G134" t="s">
        <v>26</v>
      </c>
    </row>
    <row r="135" spans="1:7" x14ac:dyDescent="0.25">
      <c r="A135" t="s">
        <v>657</v>
      </c>
      <c r="B135" t="s">
        <v>157</v>
      </c>
      <c r="C135">
        <v>22</v>
      </c>
      <c r="D135" t="s">
        <v>16</v>
      </c>
      <c r="E135" t="s">
        <v>20</v>
      </c>
      <c r="F135">
        <v>693</v>
      </c>
      <c r="G135" t="s">
        <v>26</v>
      </c>
    </row>
    <row r="136" spans="1:7" x14ac:dyDescent="0.25">
      <c r="A136" t="s">
        <v>658</v>
      </c>
      <c r="B136" t="s">
        <v>158</v>
      </c>
      <c r="C136">
        <v>59</v>
      </c>
      <c r="D136" t="s">
        <v>16</v>
      </c>
      <c r="E136" t="s">
        <v>23</v>
      </c>
      <c r="F136">
        <v>619</v>
      </c>
      <c r="G136" t="s">
        <v>21</v>
      </c>
    </row>
    <row r="137" spans="1:7" x14ac:dyDescent="0.25">
      <c r="A137" t="s">
        <v>659</v>
      </c>
      <c r="B137" t="s">
        <v>159</v>
      </c>
      <c r="C137">
        <v>22</v>
      </c>
      <c r="D137" t="s">
        <v>28</v>
      </c>
      <c r="E137" t="s">
        <v>17</v>
      </c>
      <c r="F137">
        <v>653</v>
      </c>
      <c r="G137" t="s">
        <v>26</v>
      </c>
    </row>
    <row r="138" spans="1:7" x14ac:dyDescent="0.25">
      <c r="A138" t="s">
        <v>660</v>
      </c>
      <c r="B138" t="s">
        <v>160</v>
      </c>
      <c r="C138">
        <v>47</v>
      </c>
      <c r="D138" t="s">
        <v>16</v>
      </c>
      <c r="E138" t="s">
        <v>17</v>
      </c>
      <c r="F138">
        <v>731</v>
      </c>
      <c r="G138" t="s">
        <v>32</v>
      </c>
    </row>
    <row r="139" spans="1:7" x14ac:dyDescent="0.25">
      <c r="A139" t="s">
        <v>661</v>
      </c>
      <c r="B139" t="s">
        <v>161</v>
      </c>
      <c r="C139">
        <v>57</v>
      </c>
      <c r="D139" t="s">
        <v>28</v>
      </c>
      <c r="E139" t="s">
        <v>23</v>
      </c>
      <c r="F139">
        <v>747</v>
      </c>
      <c r="G139" t="s">
        <v>32</v>
      </c>
    </row>
    <row r="140" spans="1:7" x14ac:dyDescent="0.25">
      <c r="A140" t="s">
        <v>662</v>
      </c>
      <c r="B140" t="s">
        <v>162</v>
      </c>
      <c r="C140">
        <v>62</v>
      </c>
      <c r="D140" t="s">
        <v>28</v>
      </c>
      <c r="E140" t="s">
        <v>23</v>
      </c>
      <c r="F140">
        <v>598</v>
      </c>
      <c r="G140" t="s">
        <v>21</v>
      </c>
    </row>
    <row r="141" spans="1:7" x14ac:dyDescent="0.25">
      <c r="A141" t="s">
        <v>663</v>
      </c>
      <c r="B141" t="s">
        <v>163</v>
      </c>
      <c r="C141">
        <v>30</v>
      </c>
      <c r="D141" t="s">
        <v>16</v>
      </c>
      <c r="E141" t="s">
        <v>20</v>
      </c>
      <c r="F141">
        <v>769</v>
      </c>
      <c r="G141" t="s">
        <v>18</v>
      </c>
    </row>
    <row r="142" spans="1:7" x14ac:dyDescent="0.25">
      <c r="A142" t="s">
        <v>664</v>
      </c>
      <c r="B142" t="s">
        <v>164</v>
      </c>
      <c r="C142">
        <v>37</v>
      </c>
      <c r="D142" t="s">
        <v>16</v>
      </c>
      <c r="E142" t="s">
        <v>20</v>
      </c>
      <c r="F142">
        <v>555</v>
      </c>
      <c r="G142" t="s">
        <v>21</v>
      </c>
    </row>
    <row r="143" spans="1:7" x14ac:dyDescent="0.25">
      <c r="A143" t="s">
        <v>665</v>
      </c>
      <c r="B143" t="s">
        <v>165</v>
      </c>
      <c r="C143">
        <v>59</v>
      </c>
      <c r="D143" t="s">
        <v>16</v>
      </c>
      <c r="E143" t="s">
        <v>23</v>
      </c>
      <c r="F143">
        <v>717</v>
      </c>
      <c r="G143" t="s">
        <v>32</v>
      </c>
    </row>
    <row r="144" spans="1:7" x14ac:dyDescent="0.25">
      <c r="A144" t="s">
        <v>666</v>
      </c>
      <c r="B144" t="s">
        <v>166</v>
      </c>
      <c r="C144">
        <v>55</v>
      </c>
      <c r="D144" t="s">
        <v>16</v>
      </c>
      <c r="E144" t="s">
        <v>20</v>
      </c>
      <c r="F144">
        <v>585</v>
      </c>
      <c r="G144" t="s">
        <v>21</v>
      </c>
    </row>
    <row r="145" spans="1:7" x14ac:dyDescent="0.25">
      <c r="A145" t="s">
        <v>667</v>
      </c>
      <c r="B145" t="s">
        <v>167</v>
      </c>
      <c r="C145">
        <v>40</v>
      </c>
      <c r="D145" t="s">
        <v>28</v>
      </c>
      <c r="E145" t="s">
        <v>20</v>
      </c>
      <c r="F145">
        <v>773</v>
      </c>
      <c r="G145" t="s">
        <v>18</v>
      </c>
    </row>
    <row r="146" spans="1:7" x14ac:dyDescent="0.25">
      <c r="A146" t="s">
        <v>668</v>
      </c>
      <c r="B146" t="s">
        <v>168</v>
      </c>
      <c r="C146">
        <v>21</v>
      </c>
      <c r="D146" t="s">
        <v>16</v>
      </c>
      <c r="E146" t="s">
        <v>20</v>
      </c>
      <c r="F146">
        <v>846</v>
      </c>
      <c r="G146" t="s">
        <v>18</v>
      </c>
    </row>
    <row r="147" spans="1:7" x14ac:dyDescent="0.25">
      <c r="A147" t="s">
        <v>669</v>
      </c>
      <c r="B147" t="s">
        <v>169</v>
      </c>
      <c r="C147">
        <v>55</v>
      </c>
      <c r="D147" t="s">
        <v>16</v>
      </c>
      <c r="E147" t="s">
        <v>20</v>
      </c>
      <c r="F147">
        <v>748</v>
      </c>
      <c r="G147" t="s">
        <v>32</v>
      </c>
    </row>
    <row r="148" spans="1:7" x14ac:dyDescent="0.25">
      <c r="A148" t="s">
        <v>670</v>
      </c>
      <c r="B148" t="s">
        <v>170</v>
      </c>
      <c r="C148">
        <v>50</v>
      </c>
      <c r="D148" t="s">
        <v>16</v>
      </c>
      <c r="E148" t="s">
        <v>23</v>
      </c>
      <c r="F148">
        <v>557</v>
      </c>
      <c r="G148" t="s">
        <v>21</v>
      </c>
    </row>
    <row r="149" spans="1:7" x14ac:dyDescent="0.25">
      <c r="A149" t="s">
        <v>671</v>
      </c>
      <c r="B149" t="s">
        <v>171</v>
      </c>
      <c r="C149">
        <v>50</v>
      </c>
      <c r="D149" t="s">
        <v>16</v>
      </c>
      <c r="E149" t="s">
        <v>20</v>
      </c>
      <c r="F149">
        <v>604</v>
      </c>
      <c r="G149" t="s">
        <v>21</v>
      </c>
    </row>
    <row r="150" spans="1:7" x14ac:dyDescent="0.25">
      <c r="A150" t="s">
        <v>672</v>
      </c>
      <c r="B150" t="s">
        <v>172</v>
      </c>
      <c r="C150">
        <v>38</v>
      </c>
      <c r="D150" t="s">
        <v>28</v>
      </c>
      <c r="E150" t="s">
        <v>20</v>
      </c>
      <c r="F150">
        <v>701</v>
      </c>
      <c r="G150" t="s">
        <v>32</v>
      </c>
    </row>
    <row r="151" spans="1:7" x14ac:dyDescent="0.25">
      <c r="A151" t="s">
        <v>673</v>
      </c>
      <c r="B151" t="s">
        <v>173</v>
      </c>
      <c r="C151">
        <v>52</v>
      </c>
      <c r="D151" t="s">
        <v>16</v>
      </c>
      <c r="E151" t="s">
        <v>17</v>
      </c>
      <c r="F151">
        <v>836</v>
      </c>
      <c r="G151" t="s">
        <v>18</v>
      </c>
    </row>
    <row r="152" spans="1:7" x14ac:dyDescent="0.25">
      <c r="A152" t="s">
        <v>674</v>
      </c>
      <c r="B152" t="s">
        <v>174</v>
      </c>
      <c r="C152">
        <v>46</v>
      </c>
      <c r="D152" t="s">
        <v>28</v>
      </c>
      <c r="E152" t="s">
        <v>23</v>
      </c>
      <c r="F152">
        <v>810</v>
      </c>
      <c r="G152" t="s">
        <v>18</v>
      </c>
    </row>
    <row r="153" spans="1:7" x14ac:dyDescent="0.25">
      <c r="A153" t="s">
        <v>675</v>
      </c>
      <c r="B153" t="s">
        <v>175</v>
      </c>
      <c r="C153">
        <v>35</v>
      </c>
      <c r="D153" t="s">
        <v>16</v>
      </c>
      <c r="E153" t="s">
        <v>20</v>
      </c>
      <c r="F153">
        <v>702</v>
      </c>
      <c r="G153" t="s">
        <v>32</v>
      </c>
    </row>
    <row r="154" spans="1:7" x14ac:dyDescent="0.25">
      <c r="A154" t="s">
        <v>676</v>
      </c>
      <c r="B154" t="s">
        <v>176</v>
      </c>
      <c r="C154">
        <v>48</v>
      </c>
      <c r="D154" t="s">
        <v>16</v>
      </c>
      <c r="E154" t="s">
        <v>23</v>
      </c>
      <c r="F154">
        <v>655</v>
      </c>
      <c r="G154" t="s">
        <v>26</v>
      </c>
    </row>
    <row r="155" spans="1:7" x14ac:dyDescent="0.25">
      <c r="A155" t="s">
        <v>677</v>
      </c>
      <c r="B155" t="s">
        <v>177</v>
      </c>
      <c r="C155">
        <v>46</v>
      </c>
      <c r="D155" t="s">
        <v>16</v>
      </c>
      <c r="E155" t="s">
        <v>17</v>
      </c>
      <c r="F155">
        <v>790</v>
      </c>
      <c r="G155" t="s">
        <v>18</v>
      </c>
    </row>
    <row r="156" spans="1:7" x14ac:dyDescent="0.25">
      <c r="A156" t="s">
        <v>678</v>
      </c>
      <c r="B156" t="s">
        <v>178</v>
      </c>
      <c r="C156">
        <v>62</v>
      </c>
      <c r="D156" t="s">
        <v>16</v>
      </c>
      <c r="E156" t="s">
        <v>23</v>
      </c>
      <c r="F156">
        <v>808</v>
      </c>
      <c r="G156" t="s">
        <v>18</v>
      </c>
    </row>
    <row r="157" spans="1:7" x14ac:dyDescent="0.25">
      <c r="A157" t="s">
        <v>679</v>
      </c>
      <c r="B157" t="s">
        <v>179</v>
      </c>
      <c r="C157">
        <v>22</v>
      </c>
      <c r="D157" t="s">
        <v>16</v>
      </c>
      <c r="E157" t="s">
        <v>17</v>
      </c>
      <c r="F157">
        <v>683</v>
      </c>
      <c r="G157" t="s">
        <v>26</v>
      </c>
    </row>
    <row r="158" spans="1:7" x14ac:dyDescent="0.25">
      <c r="A158" t="s">
        <v>680</v>
      </c>
      <c r="B158" t="s">
        <v>180</v>
      </c>
      <c r="C158">
        <v>58</v>
      </c>
      <c r="D158" t="s">
        <v>16</v>
      </c>
      <c r="E158" t="s">
        <v>17</v>
      </c>
      <c r="F158">
        <v>776</v>
      </c>
      <c r="G158" t="s">
        <v>18</v>
      </c>
    </row>
    <row r="159" spans="1:7" x14ac:dyDescent="0.25">
      <c r="A159" t="s">
        <v>681</v>
      </c>
      <c r="B159" t="s">
        <v>181</v>
      </c>
      <c r="C159">
        <v>40</v>
      </c>
      <c r="D159" t="s">
        <v>16</v>
      </c>
      <c r="E159" t="s">
        <v>17</v>
      </c>
      <c r="F159">
        <v>734</v>
      </c>
      <c r="G159" t="s">
        <v>32</v>
      </c>
    </row>
    <row r="160" spans="1:7" x14ac:dyDescent="0.25">
      <c r="A160" t="s">
        <v>682</v>
      </c>
      <c r="B160" t="s">
        <v>182</v>
      </c>
      <c r="C160">
        <v>43</v>
      </c>
      <c r="D160" t="s">
        <v>28</v>
      </c>
      <c r="E160" t="s">
        <v>20</v>
      </c>
      <c r="F160">
        <v>837</v>
      </c>
      <c r="G160" t="s">
        <v>18</v>
      </c>
    </row>
    <row r="161" spans="1:7" x14ac:dyDescent="0.25">
      <c r="A161" t="s">
        <v>683</v>
      </c>
      <c r="B161" t="s">
        <v>183</v>
      </c>
      <c r="C161">
        <v>32</v>
      </c>
      <c r="D161" t="s">
        <v>16</v>
      </c>
      <c r="E161" t="s">
        <v>23</v>
      </c>
      <c r="F161">
        <v>708</v>
      </c>
      <c r="G161" t="s">
        <v>32</v>
      </c>
    </row>
    <row r="162" spans="1:7" x14ac:dyDescent="0.25">
      <c r="A162" t="s">
        <v>684</v>
      </c>
      <c r="B162" t="s">
        <v>184</v>
      </c>
      <c r="C162">
        <v>53</v>
      </c>
      <c r="D162" t="s">
        <v>28</v>
      </c>
      <c r="E162" t="s">
        <v>20</v>
      </c>
      <c r="F162">
        <v>834</v>
      </c>
      <c r="G162" t="s">
        <v>18</v>
      </c>
    </row>
    <row r="163" spans="1:7" x14ac:dyDescent="0.25">
      <c r="A163" t="s">
        <v>685</v>
      </c>
      <c r="B163" t="s">
        <v>185</v>
      </c>
      <c r="C163">
        <v>56</v>
      </c>
      <c r="D163" t="s">
        <v>28</v>
      </c>
      <c r="E163" t="s">
        <v>17</v>
      </c>
      <c r="F163">
        <v>766</v>
      </c>
      <c r="G163" t="s">
        <v>18</v>
      </c>
    </row>
    <row r="164" spans="1:7" x14ac:dyDescent="0.25">
      <c r="A164" t="s">
        <v>686</v>
      </c>
      <c r="B164" t="s">
        <v>186</v>
      </c>
      <c r="C164">
        <v>33</v>
      </c>
      <c r="D164" t="s">
        <v>16</v>
      </c>
      <c r="E164" t="s">
        <v>23</v>
      </c>
      <c r="F164">
        <v>649</v>
      </c>
      <c r="G164" t="s">
        <v>21</v>
      </c>
    </row>
    <row r="165" spans="1:7" x14ac:dyDescent="0.25">
      <c r="A165" t="s">
        <v>687</v>
      </c>
      <c r="B165" t="s">
        <v>187</v>
      </c>
      <c r="C165">
        <v>34</v>
      </c>
      <c r="D165" t="s">
        <v>16</v>
      </c>
      <c r="E165" t="s">
        <v>20</v>
      </c>
      <c r="F165">
        <v>770</v>
      </c>
      <c r="G165" t="s">
        <v>18</v>
      </c>
    </row>
    <row r="166" spans="1:7" x14ac:dyDescent="0.25">
      <c r="A166" t="s">
        <v>688</v>
      </c>
      <c r="B166" t="s">
        <v>188</v>
      </c>
      <c r="C166">
        <v>37</v>
      </c>
      <c r="D166" t="s">
        <v>28</v>
      </c>
      <c r="E166" t="s">
        <v>23</v>
      </c>
      <c r="F166">
        <v>804</v>
      </c>
      <c r="G166" t="s">
        <v>18</v>
      </c>
    </row>
    <row r="167" spans="1:7" x14ac:dyDescent="0.25">
      <c r="A167" t="s">
        <v>689</v>
      </c>
      <c r="B167" t="s">
        <v>189</v>
      </c>
      <c r="C167">
        <v>41</v>
      </c>
      <c r="D167" t="s">
        <v>28</v>
      </c>
      <c r="E167" t="s">
        <v>23</v>
      </c>
      <c r="F167">
        <v>766</v>
      </c>
      <c r="G167" t="s">
        <v>18</v>
      </c>
    </row>
    <row r="168" spans="1:7" x14ac:dyDescent="0.25">
      <c r="A168" t="s">
        <v>690</v>
      </c>
      <c r="B168" t="s">
        <v>190</v>
      </c>
      <c r="C168">
        <v>64</v>
      </c>
      <c r="D168" t="s">
        <v>28</v>
      </c>
      <c r="E168" t="s">
        <v>23</v>
      </c>
      <c r="F168">
        <v>597</v>
      </c>
      <c r="G168" t="s">
        <v>21</v>
      </c>
    </row>
    <row r="169" spans="1:7" x14ac:dyDescent="0.25">
      <c r="A169" t="s">
        <v>691</v>
      </c>
      <c r="B169" t="s">
        <v>191</v>
      </c>
      <c r="C169">
        <v>55</v>
      </c>
      <c r="D169" t="s">
        <v>28</v>
      </c>
      <c r="E169" t="s">
        <v>17</v>
      </c>
      <c r="F169">
        <v>756</v>
      </c>
      <c r="G169" t="s">
        <v>18</v>
      </c>
    </row>
    <row r="170" spans="1:7" x14ac:dyDescent="0.25">
      <c r="A170" t="s">
        <v>692</v>
      </c>
      <c r="B170" t="s">
        <v>192</v>
      </c>
      <c r="C170">
        <v>51</v>
      </c>
      <c r="D170" t="s">
        <v>28</v>
      </c>
      <c r="E170" t="s">
        <v>20</v>
      </c>
      <c r="F170">
        <v>594</v>
      </c>
      <c r="G170" t="s">
        <v>21</v>
      </c>
    </row>
    <row r="171" spans="1:7" x14ac:dyDescent="0.25">
      <c r="A171" t="s">
        <v>693</v>
      </c>
      <c r="B171" t="s">
        <v>193</v>
      </c>
      <c r="C171">
        <v>30</v>
      </c>
      <c r="D171" t="s">
        <v>28</v>
      </c>
      <c r="E171" t="s">
        <v>23</v>
      </c>
      <c r="F171">
        <v>689</v>
      </c>
      <c r="G171" t="s">
        <v>26</v>
      </c>
    </row>
    <row r="172" spans="1:7" x14ac:dyDescent="0.25">
      <c r="A172" t="s">
        <v>694</v>
      </c>
      <c r="B172" t="s">
        <v>194</v>
      </c>
      <c r="C172">
        <v>23</v>
      </c>
      <c r="D172" t="s">
        <v>28</v>
      </c>
      <c r="E172" t="s">
        <v>23</v>
      </c>
      <c r="F172">
        <v>639</v>
      </c>
      <c r="G172" t="s">
        <v>21</v>
      </c>
    </row>
    <row r="173" spans="1:7" x14ac:dyDescent="0.25">
      <c r="A173" t="s">
        <v>695</v>
      </c>
      <c r="B173" t="s">
        <v>195</v>
      </c>
      <c r="C173">
        <v>55</v>
      </c>
      <c r="D173" t="s">
        <v>16</v>
      </c>
      <c r="E173" t="s">
        <v>20</v>
      </c>
      <c r="F173">
        <v>603</v>
      </c>
      <c r="G173" t="s">
        <v>21</v>
      </c>
    </row>
    <row r="174" spans="1:7" x14ac:dyDescent="0.25">
      <c r="A174" t="s">
        <v>696</v>
      </c>
      <c r="B174" t="s">
        <v>196</v>
      </c>
      <c r="C174">
        <v>53</v>
      </c>
      <c r="D174" t="s">
        <v>16</v>
      </c>
      <c r="E174" t="s">
        <v>20</v>
      </c>
      <c r="F174">
        <v>705</v>
      </c>
      <c r="G174" t="s">
        <v>32</v>
      </c>
    </row>
    <row r="175" spans="1:7" x14ac:dyDescent="0.25">
      <c r="A175" t="s">
        <v>697</v>
      </c>
      <c r="B175" t="s">
        <v>197</v>
      </c>
      <c r="C175">
        <v>44</v>
      </c>
      <c r="D175" t="s">
        <v>16</v>
      </c>
      <c r="E175" t="s">
        <v>23</v>
      </c>
      <c r="F175">
        <v>753</v>
      </c>
      <c r="G175" t="s">
        <v>18</v>
      </c>
    </row>
    <row r="176" spans="1:7" x14ac:dyDescent="0.25">
      <c r="A176" t="s">
        <v>698</v>
      </c>
      <c r="B176" t="s">
        <v>198</v>
      </c>
      <c r="C176">
        <v>31</v>
      </c>
      <c r="D176" t="s">
        <v>16</v>
      </c>
      <c r="E176" t="s">
        <v>23</v>
      </c>
      <c r="F176">
        <v>734</v>
      </c>
      <c r="G176" t="s">
        <v>32</v>
      </c>
    </row>
    <row r="177" spans="1:7" x14ac:dyDescent="0.25">
      <c r="A177" t="s">
        <v>699</v>
      </c>
      <c r="B177" t="s">
        <v>199</v>
      </c>
      <c r="C177">
        <v>53</v>
      </c>
      <c r="D177" t="s">
        <v>16</v>
      </c>
      <c r="E177" t="s">
        <v>20</v>
      </c>
      <c r="F177">
        <v>832</v>
      </c>
      <c r="G177" t="s">
        <v>18</v>
      </c>
    </row>
    <row r="178" spans="1:7" x14ac:dyDescent="0.25">
      <c r="A178" t="s">
        <v>700</v>
      </c>
      <c r="B178" t="s">
        <v>200</v>
      </c>
      <c r="C178">
        <v>38</v>
      </c>
      <c r="D178" t="s">
        <v>28</v>
      </c>
      <c r="E178" t="s">
        <v>23</v>
      </c>
      <c r="F178">
        <v>721</v>
      </c>
      <c r="G178" t="s">
        <v>32</v>
      </c>
    </row>
    <row r="179" spans="1:7" x14ac:dyDescent="0.25">
      <c r="A179" t="s">
        <v>701</v>
      </c>
      <c r="B179" t="s">
        <v>201</v>
      </c>
      <c r="C179">
        <v>26</v>
      </c>
      <c r="D179" t="s">
        <v>16</v>
      </c>
      <c r="E179" t="s">
        <v>20</v>
      </c>
      <c r="F179">
        <v>764</v>
      </c>
      <c r="G179" t="s">
        <v>18</v>
      </c>
    </row>
    <row r="180" spans="1:7" x14ac:dyDescent="0.25">
      <c r="A180" t="s">
        <v>702</v>
      </c>
      <c r="B180" t="s">
        <v>202</v>
      </c>
      <c r="C180">
        <v>39</v>
      </c>
      <c r="D180" t="s">
        <v>28</v>
      </c>
      <c r="E180" t="s">
        <v>17</v>
      </c>
      <c r="F180">
        <v>848</v>
      </c>
      <c r="G180" t="s">
        <v>18</v>
      </c>
    </row>
    <row r="181" spans="1:7" x14ac:dyDescent="0.25">
      <c r="A181" t="s">
        <v>703</v>
      </c>
      <c r="B181" t="s">
        <v>203</v>
      </c>
      <c r="C181">
        <v>57</v>
      </c>
      <c r="D181" t="s">
        <v>28</v>
      </c>
      <c r="E181" t="s">
        <v>23</v>
      </c>
      <c r="F181">
        <v>791</v>
      </c>
      <c r="G181" t="s">
        <v>18</v>
      </c>
    </row>
    <row r="182" spans="1:7" x14ac:dyDescent="0.25">
      <c r="A182" t="s">
        <v>704</v>
      </c>
      <c r="B182" t="s">
        <v>204</v>
      </c>
      <c r="C182">
        <v>24</v>
      </c>
      <c r="D182" t="s">
        <v>28</v>
      </c>
      <c r="E182" t="s">
        <v>17</v>
      </c>
      <c r="F182">
        <v>578</v>
      </c>
      <c r="G182" t="s">
        <v>21</v>
      </c>
    </row>
    <row r="183" spans="1:7" x14ac:dyDescent="0.25">
      <c r="A183" t="s">
        <v>705</v>
      </c>
      <c r="B183" t="s">
        <v>205</v>
      </c>
      <c r="C183">
        <v>51</v>
      </c>
      <c r="D183" t="s">
        <v>28</v>
      </c>
      <c r="E183" t="s">
        <v>23</v>
      </c>
      <c r="F183">
        <v>698</v>
      </c>
      <c r="G183" t="s">
        <v>26</v>
      </c>
    </row>
    <row r="184" spans="1:7" x14ac:dyDescent="0.25">
      <c r="A184" t="s">
        <v>706</v>
      </c>
      <c r="B184" t="s">
        <v>206</v>
      </c>
      <c r="C184">
        <v>22</v>
      </c>
      <c r="D184" t="s">
        <v>28</v>
      </c>
      <c r="E184" t="s">
        <v>17</v>
      </c>
      <c r="F184">
        <v>783</v>
      </c>
      <c r="G184" t="s">
        <v>18</v>
      </c>
    </row>
    <row r="185" spans="1:7" x14ac:dyDescent="0.25">
      <c r="A185" t="s">
        <v>707</v>
      </c>
      <c r="B185" t="s">
        <v>207</v>
      </c>
      <c r="C185">
        <v>53</v>
      </c>
      <c r="D185" t="s">
        <v>28</v>
      </c>
      <c r="E185" t="s">
        <v>17</v>
      </c>
      <c r="F185">
        <v>653</v>
      </c>
      <c r="G185" t="s">
        <v>26</v>
      </c>
    </row>
    <row r="186" spans="1:7" x14ac:dyDescent="0.25">
      <c r="A186" t="s">
        <v>708</v>
      </c>
      <c r="B186" t="s">
        <v>208</v>
      </c>
      <c r="C186">
        <v>22</v>
      </c>
      <c r="D186" t="s">
        <v>28</v>
      </c>
      <c r="E186" t="s">
        <v>23</v>
      </c>
      <c r="F186">
        <v>770</v>
      </c>
      <c r="G186" t="s">
        <v>18</v>
      </c>
    </row>
    <row r="187" spans="1:7" x14ac:dyDescent="0.25">
      <c r="A187" t="s">
        <v>709</v>
      </c>
      <c r="B187" t="s">
        <v>209</v>
      </c>
      <c r="C187">
        <v>28</v>
      </c>
      <c r="D187" t="s">
        <v>28</v>
      </c>
      <c r="E187" t="s">
        <v>17</v>
      </c>
      <c r="F187">
        <v>832</v>
      </c>
      <c r="G187" t="s">
        <v>18</v>
      </c>
    </row>
    <row r="188" spans="1:7" x14ac:dyDescent="0.25">
      <c r="A188" t="s">
        <v>710</v>
      </c>
      <c r="B188" t="s">
        <v>210</v>
      </c>
      <c r="C188">
        <v>33</v>
      </c>
      <c r="D188" t="s">
        <v>16</v>
      </c>
      <c r="E188" t="s">
        <v>20</v>
      </c>
      <c r="F188">
        <v>600</v>
      </c>
      <c r="G188" t="s">
        <v>21</v>
      </c>
    </row>
    <row r="189" spans="1:7" x14ac:dyDescent="0.25">
      <c r="A189" t="s">
        <v>711</v>
      </c>
      <c r="B189" t="s">
        <v>211</v>
      </c>
      <c r="C189">
        <v>51</v>
      </c>
      <c r="D189" t="s">
        <v>16</v>
      </c>
      <c r="E189" t="s">
        <v>17</v>
      </c>
      <c r="F189">
        <v>846</v>
      </c>
      <c r="G189" t="s">
        <v>18</v>
      </c>
    </row>
    <row r="190" spans="1:7" x14ac:dyDescent="0.25">
      <c r="A190" t="s">
        <v>712</v>
      </c>
      <c r="B190" t="s">
        <v>212</v>
      </c>
      <c r="C190">
        <v>28</v>
      </c>
      <c r="D190" t="s">
        <v>16</v>
      </c>
      <c r="E190" t="s">
        <v>17</v>
      </c>
      <c r="F190">
        <v>588</v>
      </c>
      <c r="G190" t="s">
        <v>21</v>
      </c>
    </row>
    <row r="191" spans="1:7" x14ac:dyDescent="0.25">
      <c r="A191" t="s">
        <v>713</v>
      </c>
      <c r="B191" t="s">
        <v>213</v>
      </c>
      <c r="C191">
        <v>55</v>
      </c>
      <c r="D191" t="s">
        <v>28</v>
      </c>
      <c r="E191" t="s">
        <v>20</v>
      </c>
      <c r="F191">
        <v>658</v>
      </c>
      <c r="G191" t="s">
        <v>26</v>
      </c>
    </row>
    <row r="192" spans="1:7" x14ac:dyDescent="0.25">
      <c r="A192" t="s">
        <v>714</v>
      </c>
      <c r="B192" t="s">
        <v>214</v>
      </c>
      <c r="C192">
        <v>41</v>
      </c>
      <c r="D192" t="s">
        <v>28</v>
      </c>
      <c r="E192" t="s">
        <v>23</v>
      </c>
      <c r="F192">
        <v>690</v>
      </c>
      <c r="G192" t="s">
        <v>26</v>
      </c>
    </row>
    <row r="193" spans="1:7" x14ac:dyDescent="0.25">
      <c r="A193" t="s">
        <v>715</v>
      </c>
      <c r="B193" t="s">
        <v>215</v>
      </c>
      <c r="C193">
        <v>36</v>
      </c>
      <c r="D193" t="s">
        <v>16</v>
      </c>
      <c r="E193" t="s">
        <v>20</v>
      </c>
      <c r="F193">
        <v>730</v>
      </c>
      <c r="G193" t="s">
        <v>32</v>
      </c>
    </row>
    <row r="194" spans="1:7" x14ac:dyDescent="0.25">
      <c r="A194" t="s">
        <v>716</v>
      </c>
      <c r="B194" t="s">
        <v>216</v>
      </c>
      <c r="C194">
        <v>50</v>
      </c>
      <c r="D194" t="s">
        <v>28</v>
      </c>
      <c r="E194" t="s">
        <v>20</v>
      </c>
      <c r="F194">
        <v>594</v>
      </c>
      <c r="G194" t="s">
        <v>21</v>
      </c>
    </row>
    <row r="195" spans="1:7" x14ac:dyDescent="0.25">
      <c r="A195" t="s">
        <v>717</v>
      </c>
      <c r="B195" t="s">
        <v>217</v>
      </c>
      <c r="C195">
        <v>27</v>
      </c>
      <c r="D195" t="s">
        <v>28</v>
      </c>
      <c r="E195" t="s">
        <v>17</v>
      </c>
      <c r="F195">
        <v>601</v>
      </c>
      <c r="G195" t="s">
        <v>21</v>
      </c>
    </row>
    <row r="196" spans="1:7" x14ac:dyDescent="0.25">
      <c r="A196" t="s">
        <v>718</v>
      </c>
      <c r="B196" t="s">
        <v>218</v>
      </c>
      <c r="C196">
        <v>56</v>
      </c>
      <c r="D196" t="s">
        <v>16</v>
      </c>
      <c r="E196" t="s">
        <v>17</v>
      </c>
      <c r="F196">
        <v>761</v>
      </c>
      <c r="G196" t="s">
        <v>18</v>
      </c>
    </row>
    <row r="197" spans="1:7" x14ac:dyDescent="0.25">
      <c r="A197" t="s">
        <v>719</v>
      </c>
      <c r="B197" t="s">
        <v>219</v>
      </c>
      <c r="C197">
        <v>50</v>
      </c>
      <c r="D197" t="s">
        <v>28</v>
      </c>
      <c r="E197" t="s">
        <v>17</v>
      </c>
      <c r="F197">
        <v>749</v>
      </c>
      <c r="G197" t="s">
        <v>32</v>
      </c>
    </row>
    <row r="198" spans="1:7" x14ac:dyDescent="0.25">
      <c r="A198" t="s">
        <v>720</v>
      </c>
      <c r="B198" t="s">
        <v>220</v>
      </c>
      <c r="C198">
        <v>49</v>
      </c>
      <c r="D198" t="s">
        <v>16</v>
      </c>
      <c r="E198" t="s">
        <v>20</v>
      </c>
      <c r="F198">
        <v>815</v>
      </c>
      <c r="G198" t="s">
        <v>18</v>
      </c>
    </row>
    <row r="199" spans="1:7" x14ac:dyDescent="0.25">
      <c r="A199" t="s">
        <v>721</v>
      </c>
      <c r="B199" t="s">
        <v>221</v>
      </c>
      <c r="C199">
        <v>43</v>
      </c>
      <c r="D199" t="s">
        <v>16</v>
      </c>
      <c r="E199" t="s">
        <v>20</v>
      </c>
      <c r="F199">
        <v>826</v>
      </c>
      <c r="G199" t="s">
        <v>18</v>
      </c>
    </row>
    <row r="200" spans="1:7" x14ac:dyDescent="0.25">
      <c r="A200" t="s">
        <v>722</v>
      </c>
      <c r="B200" t="s">
        <v>222</v>
      </c>
      <c r="C200">
        <v>31</v>
      </c>
      <c r="D200" t="s">
        <v>16</v>
      </c>
      <c r="E200" t="s">
        <v>17</v>
      </c>
      <c r="F200">
        <v>750</v>
      </c>
      <c r="G200" t="s">
        <v>18</v>
      </c>
    </row>
    <row r="201" spans="1:7" x14ac:dyDescent="0.25">
      <c r="A201" t="s">
        <v>723</v>
      </c>
      <c r="B201" t="s">
        <v>223</v>
      </c>
      <c r="C201">
        <v>65</v>
      </c>
      <c r="D201" t="s">
        <v>28</v>
      </c>
      <c r="E201" t="s">
        <v>17</v>
      </c>
      <c r="F201">
        <v>555</v>
      </c>
      <c r="G201" t="s">
        <v>21</v>
      </c>
    </row>
    <row r="202" spans="1:7" x14ac:dyDescent="0.25">
      <c r="A202" t="s">
        <v>724</v>
      </c>
      <c r="B202" t="s">
        <v>224</v>
      </c>
      <c r="C202">
        <v>65</v>
      </c>
      <c r="D202" t="s">
        <v>16</v>
      </c>
      <c r="E202" t="s">
        <v>17</v>
      </c>
      <c r="F202">
        <v>578</v>
      </c>
      <c r="G202" t="s">
        <v>21</v>
      </c>
    </row>
    <row r="203" spans="1:7" x14ac:dyDescent="0.25">
      <c r="A203" t="s">
        <v>725</v>
      </c>
      <c r="B203" t="s">
        <v>225</v>
      </c>
      <c r="C203">
        <v>54</v>
      </c>
      <c r="D203" t="s">
        <v>16</v>
      </c>
      <c r="E203" t="s">
        <v>23</v>
      </c>
      <c r="F203">
        <v>627</v>
      </c>
      <c r="G203" t="s">
        <v>21</v>
      </c>
    </row>
    <row r="204" spans="1:7" x14ac:dyDescent="0.25">
      <c r="A204" t="s">
        <v>726</v>
      </c>
      <c r="B204" t="s">
        <v>226</v>
      </c>
      <c r="C204">
        <v>49</v>
      </c>
      <c r="D204" t="s">
        <v>28</v>
      </c>
      <c r="E204" t="s">
        <v>23</v>
      </c>
      <c r="F204">
        <v>614</v>
      </c>
      <c r="G204" t="s">
        <v>21</v>
      </c>
    </row>
    <row r="205" spans="1:7" x14ac:dyDescent="0.25">
      <c r="A205" t="s">
        <v>727</v>
      </c>
      <c r="B205" t="s">
        <v>227</v>
      </c>
      <c r="C205">
        <v>61</v>
      </c>
      <c r="D205" t="s">
        <v>28</v>
      </c>
      <c r="E205" t="s">
        <v>20</v>
      </c>
      <c r="F205">
        <v>576</v>
      </c>
      <c r="G205" t="s">
        <v>21</v>
      </c>
    </row>
    <row r="206" spans="1:7" x14ac:dyDescent="0.25">
      <c r="A206" t="s">
        <v>728</v>
      </c>
      <c r="B206" t="s">
        <v>228</v>
      </c>
      <c r="C206">
        <v>50</v>
      </c>
      <c r="D206" t="s">
        <v>28</v>
      </c>
      <c r="E206" t="s">
        <v>20</v>
      </c>
      <c r="F206">
        <v>577</v>
      </c>
      <c r="G206" t="s">
        <v>21</v>
      </c>
    </row>
    <row r="207" spans="1:7" x14ac:dyDescent="0.25">
      <c r="A207" t="s">
        <v>729</v>
      </c>
      <c r="B207" t="s">
        <v>229</v>
      </c>
      <c r="C207">
        <v>48</v>
      </c>
      <c r="D207" t="s">
        <v>16</v>
      </c>
      <c r="E207" t="s">
        <v>17</v>
      </c>
      <c r="F207">
        <v>748</v>
      </c>
      <c r="G207" t="s">
        <v>32</v>
      </c>
    </row>
    <row r="208" spans="1:7" x14ac:dyDescent="0.25">
      <c r="A208" t="s">
        <v>730</v>
      </c>
      <c r="B208" t="s">
        <v>230</v>
      </c>
      <c r="C208">
        <v>52</v>
      </c>
      <c r="D208" t="s">
        <v>16</v>
      </c>
      <c r="E208" t="s">
        <v>20</v>
      </c>
      <c r="F208">
        <v>813</v>
      </c>
      <c r="G208" t="s">
        <v>18</v>
      </c>
    </row>
    <row r="209" spans="1:7" x14ac:dyDescent="0.25">
      <c r="A209" t="s">
        <v>731</v>
      </c>
      <c r="B209" t="s">
        <v>231</v>
      </c>
      <c r="C209">
        <v>40</v>
      </c>
      <c r="D209" t="s">
        <v>28</v>
      </c>
      <c r="E209" t="s">
        <v>23</v>
      </c>
      <c r="F209">
        <v>787</v>
      </c>
      <c r="G209" t="s">
        <v>18</v>
      </c>
    </row>
    <row r="210" spans="1:7" x14ac:dyDescent="0.25">
      <c r="A210" t="s">
        <v>732</v>
      </c>
      <c r="B210" t="s">
        <v>232</v>
      </c>
      <c r="C210">
        <v>24</v>
      </c>
      <c r="D210" t="s">
        <v>28</v>
      </c>
      <c r="E210" t="s">
        <v>17</v>
      </c>
      <c r="F210">
        <v>599</v>
      </c>
      <c r="G210" t="s">
        <v>21</v>
      </c>
    </row>
    <row r="211" spans="1:7" x14ac:dyDescent="0.25">
      <c r="A211" t="s">
        <v>733</v>
      </c>
      <c r="B211" t="s">
        <v>233</v>
      </c>
      <c r="C211">
        <v>44</v>
      </c>
      <c r="D211" t="s">
        <v>16</v>
      </c>
      <c r="E211" t="s">
        <v>17</v>
      </c>
      <c r="F211">
        <v>643</v>
      </c>
      <c r="G211" t="s">
        <v>21</v>
      </c>
    </row>
    <row r="212" spans="1:7" x14ac:dyDescent="0.25">
      <c r="A212" t="s">
        <v>734</v>
      </c>
      <c r="B212" t="s">
        <v>234</v>
      </c>
      <c r="C212">
        <v>41</v>
      </c>
      <c r="D212" t="s">
        <v>16</v>
      </c>
      <c r="E212" t="s">
        <v>17</v>
      </c>
      <c r="F212">
        <v>590</v>
      </c>
      <c r="G212" t="s">
        <v>21</v>
      </c>
    </row>
    <row r="213" spans="1:7" x14ac:dyDescent="0.25">
      <c r="A213" t="s">
        <v>735</v>
      </c>
      <c r="B213" t="s">
        <v>235</v>
      </c>
      <c r="C213">
        <v>49</v>
      </c>
      <c r="D213" t="s">
        <v>28</v>
      </c>
      <c r="E213" t="s">
        <v>17</v>
      </c>
      <c r="F213">
        <v>822</v>
      </c>
      <c r="G213" t="s">
        <v>18</v>
      </c>
    </row>
    <row r="214" spans="1:7" x14ac:dyDescent="0.25">
      <c r="A214" t="s">
        <v>736</v>
      </c>
      <c r="B214" t="s">
        <v>236</v>
      </c>
      <c r="C214">
        <v>46</v>
      </c>
      <c r="D214" t="s">
        <v>16</v>
      </c>
      <c r="E214" t="s">
        <v>23</v>
      </c>
      <c r="F214">
        <v>775</v>
      </c>
      <c r="G214" t="s">
        <v>18</v>
      </c>
    </row>
    <row r="215" spans="1:7" x14ac:dyDescent="0.25">
      <c r="A215" t="s">
        <v>737</v>
      </c>
      <c r="B215" t="s">
        <v>237</v>
      </c>
      <c r="C215">
        <v>30</v>
      </c>
      <c r="D215" t="s">
        <v>28</v>
      </c>
      <c r="E215" t="s">
        <v>23</v>
      </c>
      <c r="F215">
        <v>771</v>
      </c>
      <c r="G215" t="s">
        <v>18</v>
      </c>
    </row>
    <row r="216" spans="1:7" x14ac:dyDescent="0.25">
      <c r="A216" t="s">
        <v>738</v>
      </c>
      <c r="B216" t="s">
        <v>238</v>
      </c>
      <c r="C216">
        <v>65</v>
      </c>
      <c r="D216" t="s">
        <v>16</v>
      </c>
      <c r="E216" t="s">
        <v>23</v>
      </c>
      <c r="F216">
        <v>792</v>
      </c>
      <c r="G216" t="s">
        <v>18</v>
      </c>
    </row>
    <row r="217" spans="1:7" x14ac:dyDescent="0.25">
      <c r="A217" t="s">
        <v>739</v>
      </c>
      <c r="B217" t="s">
        <v>239</v>
      </c>
      <c r="C217">
        <v>28</v>
      </c>
      <c r="D217" t="s">
        <v>16</v>
      </c>
      <c r="E217" t="s">
        <v>20</v>
      </c>
      <c r="F217">
        <v>727</v>
      </c>
      <c r="G217" t="s">
        <v>32</v>
      </c>
    </row>
    <row r="218" spans="1:7" x14ac:dyDescent="0.25">
      <c r="A218" t="s">
        <v>740</v>
      </c>
      <c r="B218" t="s">
        <v>240</v>
      </c>
      <c r="C218">
        <v>36</v>
      </c>
      <c r="D218" t="s">
        <v>16</v>
      </c>
      <c r="E218" t="s">
        <v>20</v>
      </c>
      <c r="F218">
        <v>634</v>
      </c>
      <c r="G218" t="s">
        <v>21</v>
      </c>
    </row>
    <row r="219" spans="1:7" x14ac:dyDescent="0.25">
      <c r="A219" t="s">
        <v>741</v>
      </c>
      <c r="B219" t="s">
        <v>241</v>
      </c>
      <c r="C219">
        <v>60</v>
      </c>
      <c r="D219" t="s">
        <v>16</v>
      </c>
      <c r="E219" t="s">
        <v>17</v>
      </c>
      <c r="F219">
        <v>683</v>
      </c>
      <c r="G219" t="s">
        <v>26</v>
      </c>
    </row>
    <row r="220" spans="1:7" x14ac:dyDescent="0.25">
      <c r="A220" t="s">
        <v>742</v>
      </c>
      <c r="B220" t="s">
        <v>242</v>
      </c>
      <c r="C220">
        <v>56</v>
      </c>
      <c r="D220" t="s">
        <v>16</v>
      </c>
      <c r="E220" t="s">
        <v>23</v>
      </c>
      <c r="F220">
        <v>565</v>
      </c>
      <c r="G220" t="s">
        <v>21</v>
      </c>
    </row>
    <row r="221" spans="1:7" x14ac:dyDescent="0.25">
      <c r="A221" t="s">
        <v>743</v>
      </c>
      <c r="B221" t="s">
        <v>243</v>
      </c>
      <c r="C221">
        <v>58</v>
      </c>
      <c r="D221" t="s">
        <v>16</v>
      </c>
      <c r="E221" t="s">
        <v>17</v>
      </c>
      <c r="F221">
        <v>832</v>
      </c>
      <c r="G221" t="s">
        <v>18</v>
      </c>
    </row>
    <row r="222" spans="1:7" x14ac:dyDescent="0.25">
      <c r="A222" t="s">
        <v>744</v>
      </c>
      <c r="B222" t="s">
        <v>244</v>
      </c>
      <c r="C222">
        <v>60</v>
      </c>
      <c r="D222" t="s">
        <v>28</v>
      </c>
      <c r="E222" t="s">
        <v>23</v>
      </c>
      <c r="F222">
        <v>554</v>
      </c>
      <c r="G222" t="s">
        <v>21</v>
      </c>
    </row>
    <row r="223" spans="1:7" x14ac:dyDescent="0.25">
      <c r="A223" t="s">
        <v>745</v>
      </c>
      <c r="B223" t="s">
        <v>245</v>
      </c>
      <c r="C223">
        <v>43</v>
      </c>
      <c r="D223" t="s">
        <v>28</v>
      </c>
      <c r="E223" t="s">
        <v>23</v>
      </c>
      <c r="F223">
        <v>735</v>
      </c>
      <c r="G223" t="s">
        <v>32</v>
      </c>
    </row>
    <row r="224" spans="1:7" x14ac:dyDescent="0.25">
      <c r="A224" t="s">
        <v>746</v>
      </c>
      <c r="B224" t="s">
        <v>246</v>
      </c>
      <c r="C224">
        <v>53</v>
      </c>
      <c r="D224" t="s">
        <v>16</v>
      </c>
      <c r="E224" t="s">
        <v>23</v>
      </c>
      <c r="F224">
        <v>643</v>
      </c>
      <c r="G224" t="s">
        <v>21</v>
      </c>
    </row>
    <row r="225" spans="1:7" x14ac:dyDescent="0.25">
      <c r="A225" t="s">
        <v>747</v>
      </c>
      <c r="B225" t="s">
        <v>247</v>
      </c>
      <c r="C225">
        <v>44</v>
      </c>
      <c r="D225" t="s">
        <v>28</v>
      </c>
      <c r="E225" t="s">
        <v>20</v>
      </c>
      <c r="F225">
        <v>735</v>
      </c>
      <c r="G225" t="s">
        <v>32</v>
      </c>
    </row>
    <row r="226" spans="1:7" x14ac:dyDescent="0.25">
      <c r="A226" t="s">
        <v>748</v>
      </c>
      <c r="B226" t="s">
        <v>248</v>
      </c>
      <c r="C226">
        <v>58</v>
      </c>
      <c r="D226" t="s">
        <v>28</v>
      </c>
      <c r="E226" t="s">
        <v>20</v>
      </c>
      <c r="F226">
        <v>620</v>
      </c>
      <c r="G226" t="s">
        <v>21</v>
      </c>
    </row>
    <row r="227" spans="1:7" x14ac:dyDescent="0.25">
      <c r="A227" t="s">
        <v>749</v>
      </c>
      <c r="B227" t="s">
        <v>249</v>
      </c>
      <c r="C227">
        <v>21</v>
      </c>
      <c r="D227" t="s">
        <v>16</v>
      </c>
      <c r="E227" t="s">
        <v>20</v>
      </c>
      <c r="F227">
        <v>592</v>
      </c>
      <c r="G227" t="s">
        <v>21</v>
      </c>
    </row>
    <row r="228" spans="1:7" x14ac:dyDescent="0.25">
      <c r="A228" t="s">
        <v>750</v>
      </c>
      <c r="B228" t="s">
        <v>250</v>
      </c>
      <c r="C228">
        <v>63</v>
      </c>
      <c r="D228" t="s">
        <v>28</v>
      </c>
      <c r="E228" t="s">
        <v>17</v>
      </c>
      <c r="F228">
        <v>809</v>
      </c>
      <c r="G228" t="s">
        <v>18</v>
      </c>
    </row>
    <row r="229" spans="1:7" x14ac:dyDescent="0.25">
      <c r="A229" t="s">
        <v>751</v>
      </c>
      <c r="B229" t="s">
        <v>251</v>
      </c>
      <c r="C229">
        <v>58</v>
      </c>
      <c r="D229" t="s">
        <v>16</v>
      </c>
      <c r="E229" t="s">
        <v>23</v>
      </c>
      <c r="F229">
        <v>785</v>
      </c>
      <c r="G229" t="s">
        <v>18</v>
      </c>
    </row>
    <row r="230" spans="1:7" x14ac:dyDescent="0.25">
      <c r="A230" t="s">
        <v>752</v>
      </c>
      <c r="B230" t="s">
        <v>252</v>
      </c>
      <c r="C230">
        <v>43</v>
      </c>
      <c r="D230" t="s">
        <v>16</v>
      </c>
      <c r="E230" t="s">
        <v>20</v>
      </c>
      <c r="F230">
        <v>825</v>
      </c>
      <c r="G230" t="s">
        <v>18</v>
      </c>
    </row>
    <row r="231" spans="1:7" x14ac:dyDescent="0.25">
      <c r="A231" t="s">
        <v>753</v>
      </c>
      <c r="B231" t="s">
        <v>253</v>
      </c>
      <c r="C231">
        <v>31</v>
      </c>
      <c r="D231" t="s">
        <v>28</v>
      </c>
      <c r="E231" t="s">
        <v>17</v>
      </c>
      <c r="F231">
        <v>789</v>
      </c>
      <c r="G231" t="s">
        <v>18</v>
      </c>
    </row>
    <row r="232" spans="1:7" x14ac:dyDescent="0.25">
      <c r="A232" t="s">
        <v>754</v>
      </c>
      <c r="B232" t="s">
        <v>254</v>
      </c>
      <c r="C232">
        <v>47</v>
      </c>
      <c r="D232" t="s">
        <v>28</v>
      </c>
      <c r="E232" t="s">
        <v>23</v>
      </c>
      <c r="F232">
        <v>698</v>
      </c>
      <c r="G232" t="s">
        <v>26</v>
      </c>
    </row>
    <row r="233" spans="1:7" x14ac:dyDescent="0.25">
      <c r="A233" t="s">
        <v>755</v>
      </c>
      <c r="B233" t="s">
        <v>255</v>
      </c>
      <c r="C233">
        <v>28</v>
      </c>
      <c r="D233" t="s">
        <v>28</v>
      </c>
      <c r="E233" t="s">
        <v>20</v>
      </c>
      <c r="F233">
        <v>691</v>
      </c>
      <c r="G233" t="s">
        <v>26</v>
      </c>
    </row>
    <row r="234" spans="1:7" x14ac:dyDescent="0.25">
      <c r="A234" t="s">
        <v>756</v>
      </c>
      <c r="B234" t="s">
        <v>256</v>
      </c>
      <c r="C234">
        <v>21</v>
      </c>
      <c r="D234" t="s">
        <v>16</v>
      </c>
      <c r="E234" t="s">
        <v>20</v>
      </c>
      <c r="F234">
        <v>629</v>
      </c>
      <c r="G234" t="s">
        <v>21</v>
      </c>
    </row>
    <row r="235" spans="1:7" x14ac:dyDescent="0.25">
      <c r="A235" t="s">
        <v>757</v>
      </c>
      <c r="B235" t="s">
        <v>257</v>
      </c>
      <c r="C235">
        <v>43</v>
      </c>
      <c r="D235" t="s">
        <v>28</v>
      </c>
      <c r="E235" t="s">
        <v>17</v>
      </c>
      <c r="F235">
        <v>840</v>
      </c>
      <c r="G235" t="s">
        <v>18</v>
      </c>
    </row>
    <row r="236" spans="1:7" x14ac:dyDescent="0.25">
      <c r="A236" t="s">
        <v>758</v>
      </c>
      <c r="B236" t="s">
        <v>258</v>
      </c>
      <c r="C236">
        <v>56</v>
      </c>
      <c r="D236" t="s">
        <v>16</v>
      </c>
      <c r="E236" t="s">
        <v>20</v>
      </c>
      <c r="F236">
        <v>556</v>
      </c>
      <c r="G236" t="s">
        <v>21</v>
      </c>
    </row>
    <row r="237" spans="1:7" x14ac:dyDescent="0.25">
      <c r="A237" t="s">
        <v>759</v>
      </c>
      <c r="B237" t="s">
        <v>259</v>
      </c>
      <c r="C237">
        <v>27</v>
      </c>
      <c r="D237" t="s">
        <v>28</v>
      </c>
      <c r="E237" t="s">
        <v>23</v>
      </c>
      <c r="F237">
        <v>637</v>
      </c>
      <c r="G237" t="s">
        <v>21</v>
      </c>
    </row>
    <row r="238" spans="1:7" x14ac:dyDescent="0.25">
      <c r="A238" t="s">
        <v>760</v>
      </c>
      <c r="B238" t="s">
        <v>260</v>
      </c>
      <c r="C238">
        <v>55</v>
      </c>
      <c r="D238" t="s">
        <v>16</v>
      </c>
      <c r="E238" t="s">
        <v>23</v>
      </c>
      <c r="F238">
        <v>770</v>
      </c>
      <c r="G238" t="s">
        <v>18</v>
      </c>
    </row>
    <row r="239" spans="1:7" x14ac:dyDescent="0.25">
      <c r="A239" t="s">
        <v>761</v>
      </c>
      <c r="B239" t="s">
        <v>261</v>
      </c>
      <c r="C239">
        <v>53</v>
      </c>
      <c r="D239" t="s">
        <v>28</v>
      </c>
      <c r="E239" t="s">
        <v>23</v>
      </c>
      <c r="F239">
        <v>602</v>
      </c>
      <c r="G239" t="s">
        <v>21</v>
      </c>
    </row>
    <row r="240" spans="1:7" x14ac:dyDescent="0.25">
      <c r="A240" t="s">
        <v>762</v>
      </c>
      <c r="B240" t="s">
        <v>262</v>
      </c>
      <c r="C240">
        <v>40</v>
      </c>
      <c r="D240" t="s">
        <v>28</v>
      </c>
      <c r="E240" t="s">
        <v>20</v>
      </c>
      <c r="F240">
        <v>677</v>
      </c>
      <c r="G240" t="s">
        <v>26</v>
      </c>
    </row>
    <row r="241" spans="1:7" x14ac:dyDescent="0.25">
      <c r="A241" t="s">
        <v>763</v>
      </c>
      <c r="B241" t="s">
        <v>263</v>
      </c>
      <c r="C241">
        <v>29</v>
      </c>
      <c r="D241" t="s">
        <v>28</v>
      </c>
      <c r="E241" t="s">
        <v>23</v>
      </c>
      <c r="F241">
        <v>613</v>
      </c>
      <c r="G241" t="s">
        <v>21</v>
      </c>
    </row>
    <row r="242" spans="1:7" x14ac:dyDescent="0.25">
      <c r="A242" t="s">
        <v>764</v>
      </c>
      <c r="B242" t="s">
        <v>264</v>
      </c>
      <c r="C242">
        <v>51</v>
      </c>
      <c r="D242" t="s">
        <v>16</v>
      </c>
      <c r="E242" t="s">
        <v>23</v>
      </c>
      <c r="F242">
        <v>834</v>
      </c>
      <c r="G242" t="s">
        <v>18</v>
      </c>
    </row>
    <row r="243" spans="1:7" x14ac:dyDescent="0.25">
      <c r="A243" t="s">
        <v>765</v>
      </c>
      <c r="B243" t="s">
        <v>265</v>
      </c>
      <c r="C243">
        <v>61</v>
      </c>
      <c r="D243" t="s">
        <v>28</v>
      </c>
      <c r="E243" t="s">
        <v>17</v>
      </c>
      <c r="F243">
        <v>616</v>
      </c>
      <c r="G243" t="s">
        <v>21</v>
      </c>
    </row>
    <row r="244" spans="1:7" x14ac:dyDescent="0.25">
      <c r="A244" t="s">
        <v>766</v>
      </c>
      <c r="B244" t="s">
        <v>266</v>
      </c>
      <c r="C244">
        <v>42</v>
      </c>
      <c r="D244" t="s">
        <v>28</v>
      </c>
      <c r="E244" t="s">
        <v>17</v>
      </c>
      <c r="F244">
        <v>665</v>
      </c>
      <c r="G244" t="s">
        <v>26</v>
      </c>
    </row>
    <row r="245" spans="1:7" x14ac:dyDescent="0.25">
      <c r="A245" t="s">
        <v>767</v>
      </c>
      <c r="B245" t="s">
        <v>267</v>
      </c>
      <c r="C245">
        <v>24</v>
      </c>
      <c r="D245" t="s">
        <v>16</v>
      </c>
      <c r="E245" t="s">
        <v>17</v>
      </c>
      <c r="F245">
        <v>802</v>
      </c>
      <c r="G245" t="s">
        <v>18</v>
      </c>
    </row>
    <row r="246" spans="1:7" x14ac:dyDescent="0.25">
      <c r="A246" t="s">
        <v>768</v>
      </c>
      <c r="B246" t="s">
        <v>268</v>
      </c>
      <c r="C246">
        <v>60</v>
      </c>
      <c r="D246" t="s">
        <v>16</v>
      </c>
      <c r="E246" t="s">
        <v>20</v>
      </c>
      <c r="F246">
        <v>834</v>
      </c>
      <c r="G246" t="s">
        <v>18</v>
      </c>
    </row>
    <row r="247" spans="1:7" x14ac:dyDescent="0.25">
      <c r="A247" t="s">
        <v>769</v>
      </c>
      <c r="B247" t="s">
        <v>269</v>
      </c>
      <c r="C247">
        <v>57</v>
      </c>
      <c r="D247" t="s">
        <v>16</v>
      </c>
      <c r="E247" t="s">
        <v>20</v>
      </c>
      <c r="F247">
        <v>696</v>
      </c>
      <c r="G247" t="s">
        <v>26</v>
      </c>
    </row>
    <row r="248" spans="1:7" x14ac:dyDescent="0.25">
      <c r="A248" t="s">
        <v>770</v>
      </c>
      <c r="B248" t="s">
        <v>270</v>
      </c>
      <c r="C248">
        <v>56</v>
      </c>
      <c r="D248" t="s">
        <v>16</v>
      </c>
      <c r="E248" t="s">
        <v>17</v>
      </c>
      <c r="F248">
        <v>836</v>
      </c>
      <c r="G248" t="s">
        <v>18</v>
      </c>
    </row>
    <row r="249" spans="1:7" x14ac:dyDescent="0.25">
      <c r="A249" t="s">
        <v>771</v>
      </c>
      <c r="B249" t="s">
        <v>271</v>
      </c>
      <c r="C249">
        <v>33</v>
      </c>
      <c r="D249" t="s">
        <v>28</v>
      </c>
      <c r="E249" t="s">
        <v>17</v>
      </c>
      <c r="F249">
        <v>778</v>
      </c>
      <c r="G249" t="s">
        <v>18</v>
      </c>
    </row>
    <row r="250" spans="1:7" x14ac:dyDescent="0.25">
      <c r="A250" t="s">
        <v>772</v>
      </c>
      <c r="B250" t="s">
        <v>272</v>
      </c>
      <c r="C250">
        <v>34</v>
      </c>
      <c r="D250" t="s">
        <v>28</v>
      </c>
      <c r="E250" t="s">
        <v>17</v>
      </c>
      <c r="F250">
        <v>695</v>
      </c>
      <c r="G250" t="s">
        <v>26</v>
      </c>
    </row>
    <row r="251" spans="1:7" x14ac:dyDescent="0.25">
      <c r="A251" t="s">
        <v>773</v>
      </c>
      <c r="B251" t="s">
        <v>273</v>
      </c>
      <c r="C251">
        <v>24</v>
      </c>
      <c r="D251" t="s">
        <v>16</v>
      </c>
      <c r="E251" t="s">
        <v>23</v>
      </c>
      <c r="F251">
        <v>729</v>
      </c>
      <c r="G251" t="s">
        <v>32</v>
      </c>
    </row>
    <row r="252" spans="1:7" x14ac:dyDescent="0.25">
      <c r="A252" t="s">
        <v>774</v>
      </c>
      <c r="B252" t="s">
        <v>274</v>
      </c>
      <c r="C252">
        <v>32</v>
      </c>
      <c r="D252" t="s">
        <v>28</v>
      </c>
      <c r="E252" t="s">
        <v>20</v>
      </c>
      <c r="F252">
        <v>619</v>
      </c>
      <c r="G252" t="s">
        <v>21</v>
      </c>
    </row>
    <row r="253" spans="1:7" x14ac:dyDescent="0.25">
      <c r="A253" t="s">
        <v>775</v>
      </c>
      <c r="B253" t="s">
        <v>275</v>
      </c>
      <c r="C253">
        <v>58</v>
      </c>
      <c r="D253" t="s">
        <v>28</v>
      </c>
      <c r="E253" t="s">
        <v>20</v>
      </c>
      <c r="F253">
        <v>769</v>
      </c>
      <c r="G253" t="s">
        <v>18</v>
      </c>
    </row>
    <row r="254" spans="1:7" x14ac:dyDescent="0.25">
      <c r="A254" t="s">
        <v>776</v>
      </c>
      <c r="B254" t="s">
        <v>276</v>
      </c>
      <c r="C254">
        <v>25</v>
      </c>
      <c r="D254" t="s">
        <v>28</v>
      </c>
      <c r="E254" t="s">
        <v>17</v>
      </c>
      <c r="F254">
        <v>598</v>
      </c>
      <c r="G254" t="s">
        <v>21</v>
      </c>
    </row>
    <row r="255" spans="1:7" x14ac:dyDescent="0.25">
      <c r="A255" t="s">
        <v>777</v>
      </c>
      <c r="B255" t="s">
        <v>277</v>
      </c>
      <c r="C255">
        <v>61</v>
      </c>
      <c r="D255" t="s">
        <v>28</v>
      </c>
      <c r="E255" t="s">
        <v>17</v>
      </c>
      <c r="F255">
        <v>667</v>
      </c>
      <c r="G255" t="s">
        <v>26</v>
      </c>
    </row>
    <row r="256" spans="1:7" x14ac:dyDescent="0.25">
      <c r="A256" t="s">
        <v>778</v>
      </c>
      <c r="B256" t="s">
        <v>278</v>
      </c>
      <c r="C256">
        <v>31</v>
      </c>
      <c r="D256" t="s">
        <v>28</v>
      </c>
      <c r="E256" t="s">
        <v>23</v>
      </c>
      <c r="F256">
        <v>819</v>
      </c>
      <c r="G256" t="s">
        <v>18</v>
      </c>
    </row>
    <row r="257" spans="1:7" x14ac:dyDescent="0.25">
      <c r="A257" t="s">
        <v>779</v>
      </c>
      <c r="B257" t="s">
        <v>279</v>
      </c>
      <c r="C257">
        <v>44</v>
      </c>
      <c r="D257" t="s">
        <v>16</v>
      </c>
      <c r="E257" t="s">
        <v>23</v>
      </c>
      <c r="F257">
        <v>818</v>
      </c>
      <c r="G257" t="s">
        <v>18</v>
      </c>
    </row>
    <row r="258" spans="1:7" x14ac:dyDescent="0.25">
      <c r="A258" t="s">
        <v>780</v>
      </c>
      <c r="B258" t="s">
        <v>280</v>
      </c>
      <c r="C258">
        <v>30</v>
      </c>
      <c r="D258" t="s">
        <v>28</v>
      </c>
      <c r="E258" t="s">
        <v>20</v>
      </c>
      <c r="F258">
        <v>686</v>
      </c>
      <c r="G258" t="s">
        <v>26</v>
      </c>
    </row>
    <row r="259" spans="1:7" x14ac:dyDescent="0.25">
      <c r="A259" t="s">
        <v>781</v>
      </c>
      <c r="B259" t="s">
        <v>281</v>
      </c>
      <c r="C259">
        <v>64</v>
      </c>
      <c r="D259" t="s">
        <v>16</v>
      </c>
      <c r="E259" t="s">
        <v>23</v>
      </c>
      <c r="F259">
        <v>687</v>
      </c>
      <c r="G259" t="s">
        <v>26</v>
      </c>
    </row>
    <row r="260" spans="1:7" x14ac:dyDescent="0.25">
      <c r="A260" t="s">
        <v>782</v>
      </c>
      <c r="B260" t="s">
        <v>282</v>
      </c>
      <c r="C260">
        <v>48</v>
      </c>
      <c r="D260" t="s">
        <v>28</v>
      </c>
      <c r="E260" t="s">
        <v>20</v>
      </c>
      <c r="F260">
        <v>645</v>
      </c>
      <c r="G260" t="s">
        <v>21</v>
      </c>
    </row>
    <row r="261" spans="1:7" x14ac:dyDescent="0.25">
      <c r="A261" t="s">
        <v>783</v>
      </c>
      <c r="B261" t="s">
        <v>283</v>
      </c>
      <c r="C261">
        <v>42</v>
      </c>
      <c r="D261" t="s">
        <v>28</v>
      </c>
      <c r="E261" t="s">
        <v>20</v>
      </c>
      <c r="F261">
        <v>579</v>
      </c>
      <c r="G261" t="s">
        <v>21</v>
      </c>
    </row>
    <row r="262" spans="1:7" x14ac:dyDescent="0.25">
      <c r="A262" t="s">
        <v>784</v>
      </c>
      <c r="B262" t="s">
        <v>284</v>
      </c>
      <c r="C262">
        <v>54</v>
      </c>
      <c r="D262" t="s">
        <v>16</v>
      </c>
      <c r="E262" t="s">
        <v>17</v>
      </c>
      <c r="F262">
        <v>562</v>
      </c>
      <c r="G262" t="s">
        <v>21</v>
      </c>
    </row>
    <row r="263" spans="1:7" x14ac:dyDescent="0.25">
      <c r="A263" t="s">
        <v>785</v>
      </c>
      <c r="B263" t="s">
        <v>285</v>
      </c>
      <c r="C263">
        <v>57</v>
      </c>
      <c r="D263" t="s">
        <v>28</v>
      </c>
      <c r="E263" t="s">
        <v>20</v>
      </c>
      <c r="F263">
        <v>755</v>
      </c>
      <c r="G263" t="s">
        <v>18</v>
      </c>
    </row>
    <row r="264" spans="1:7" x14ac:dyDescent="0.25">
      <c r="A264" t="s">
        <v>786</v>
      </c>
      <c r="B264" t="s">
        <v>286</v>
      </c>
      <c r="C264">
        <v>65</v>
      </c>
      <c r="D264" t="s">
        <v>16</v>
      </c>
      <c r="E264" t="s">
        <v>20</v>
      </c>
      <c r="F264">
        <v>702</v>
      </c>
      <c r="G264" t="s">
        <v>32</v>
      </c>
    </row>
    <row r="265" spans="1:7" x14ac:dyDescent="0.25">
      <c r="A265" t="s">
        <v>787</v>
      </c>
      <c r="B265" t="s">
        <v>287</v>
      </c>
      <c r="C265">
        <v>25</v>
      </c>
      <c r="D265" t="s">
        <v>28</v>
      </c>
      <c r="E265" t="s">
        <v>20</v>
      </c>
      <c r="F265">
        <v>788</v>
      </c>
      <c r="G265" t="s">
        <v>18</v>
      </c>
    </row>
    <row r="266" spans="1:7" x14ac:dyDescent="0.25">
      <c r="A266" t="s">
        <v>788</v>
      </c>
      <c r="B266" t="s">
        <v>288</v>
      </c>
      <c r="C266">
        <v>45</v>
      </c>
      <c r="D266" t="s">
        <v>16</v>
      </c>
      <c r="E266" t="s">
        <v>23</v>
      </c>
      <c r="F266">
        <v>776</v>
      </c>
      <c r="G266" t="s">
        <v>18</v>
      </c>
    </row>
    <row r="267" spans="1:7" x14ac:dyDescent="0.25">
      <c r="A267" t="s">
        <v>789</v>
      </c>
      <c r="B267" t="s">
        <v>289</v>
      </c>
      <c r="C267">
        <v>26</v>
      </c>
      <c r="D267" t="s">
        <v>28</v>
      </c>
      <c r="E267" t="s">
        <v>20</v>
      </c>
      <c r="F267">
        <v>699</v>
      </c>
      <c r="G267" t="s">
        <v>26</v>
      </c>
    </row>
    <row r="268" spans="1:7" x14ac:dyDescent="0.25">
      <c r="A268" t="s">
        <v>790</v>
      </c>
      <c r="B268" t="s">
        <v>290</v>
      </c>
      <c r="C268">
        <v>59</v>
      </c>
      <c r="D268" t="s">
        <v>16</v>
      </c>
      <c r="E268" t="s">
        <v>23</v>
      </c>
      <c r="F268">
        <v>584</v>
      </c>
      <c r="G268" t="s">
        <v>21</v>
      </c>
    </row>
    <row r="269" spans="1:7" x14ac:dyDescent="0.25">
      <c r="A269" t="s">
        <v>791</v>
      </c>
      <c r="B269" t="s">
        <v>291</v>
      </c>
      <c r="C269">
        <v>21</v>
      </c>
      <c r="D269" t="s">
        <v>16</v>
      </c>
      <c r="E269" t="s">
        <v>20</v>
      </c>
      <c r="F269">
        <v>714</v>
      </c>
      <c r="G269" t="s">
        <v>32</v>
      </c>
    </row>
    <row r="270" spans="1:7" x14ac:dyDescent="0.25">
      <c r="A270" t="s">
        <v>792</v>
      </c>
      <c r="B270" t="s">
        <v>292</v>
      </c>
      <c r="C270">
        <v>30</v>
      </c>
      <c r="D270" t="s">
        <v>16</v>
      </c>
      <c r="E270" t="s">
        <v>20</v>
      </c>
      <c r="F270">
        <v>775</v>
      </c>
      <c r="G270" t="s">
        <v>18</v>
      </c>
    </row>
    <row r="271" spans="1:7" x14ac:dyDescent="0.25">
      <c r="A271" t="s">
        <v>793</v>
      </c>
      <c r="B271" t="s">
        <v>293</v>
      </c>
      <c r="C271">
        <v>35</v>
      </c>
      <c r="D271" t="s">
        <v>28</v>
      </c>
      <c r="E271" t="s">
        <v>23</v>
      </c>
      <c r="F271">
        <v>613</v>
      </c>
      <c r="G271" t="s">
        <v>21</v>
      </c>
    </row>
    <row r="272" spans="1:7" x14ac:dyDescent="0.25">
      <c r="A272" t="s">
        <v>794</v>
      </c>
      <c r="B272" t="s">
        <v>294</v>
      </c>
      <c r="C272">
        <v>51</v>
      </c>
      <c r="D272" t="s">
        <v>28</v>
      </c>
      <c r="E272" t="s">
        <v>17</v>
      </c>
      <c r="F272">
        <v>721</v>
      </c>
      <c r="G272" t="s">
        <v>32</v>
      </c>
    </row>
    <row r="273" spans="1:7" x14ac:dyDescent="0.25">
      <c r="A273" t="s">
        <v>795</v>
      </c>
      <c r="B273" t="s">
        <v>295</v>
      </c>
      <c r="C273">
        <v>59</v>
      </c>
      <c r="D273" t="s">
        <v>28</v>
      </c>
      <c r="E273" t="s">
        <v>20</v>
      </c>
      <c r="F273">
        <v>763</v>
      </c>
      <c r="G273" t="s">
        <v>18</v>
      </c>
    </row>
    <row r="274" spans="1:7" x14ac:dyDescent="0.25">
      <c r="A274" t="s">
        <v>796</v>
      </c>
      <c r="B274" t="s">
        <v>296</v>
      </c>
      <c r="C274">
        <v>62</v>
      </c>
      <c r="D274" t="s">
        <v>28</v>
      </c>
      <c r="E274" t="s">
        <v>20</v>
      </c>
      <c r="F274">
        <v>767</v>
      </c>
      <c r="G274" t="s">
        <v>18</v>
      </c>
    </row>
    <row r="275" spans="1:7" x14ac:dyDescent="0.25">
      <c r="A275" t="s">
        <v>797</v>
      </c>
      <c r="B275" t="s">
        <v>297</v>
      </c>
      <c r="C275">
        <v>59</v>
      </c>
      <c r="D275" t="s">
        <v>16</v>
      </c>
      <c r="E275" t="s">
        <v>23</v>
      </c>
      <c r="F275">
        <v>700</v>
      </c>
      <c r="G275" t="s">
        <v>32</v>
      </c>
    </row>
    <row r="276" spans="1:7" x14ac:dyDescent="0.25">
      <c r="A276" t="s">
        <v>798</v>
      </c>
      <c r="B276" t="s">
        <v>298</v>
      </c>
      <c r="C276">
        <v>43</v>
      </c>
      <c r="D276" t="s">
        <v>16</v>
      </c>
      <c r="E276" t="s">
        <v>20</v>
      </c>
      <c r="F276">
        <v>635</v>
      </c>
      <c r="G276" t="s">
        <v>21</v>
      </c>
    </row>
    <row r="277" spans="1:7" x14ac:dyDescent="0.25">
      <c r="A277" t="s">
        <v>799</v>
      </c>
      <c r="B277" t="s">
        <v>299</v>
      </c>
      <c r="C277">
        <v>51</v>
      </c>
      <c r="D277" t="s">
        <v>28</v>
      </c>
      <c r="E277" t="s">
        <v>23</v>
      </c>
      <c r="F277">
        <v>809</v>
      </c>
      <c r="G277" t="s">
        <v>18</v>
      </c>
    </row>
    <row r="278" spans="1:7" x14ac:dyDescent="0.25">
      <c r="A278" t="s">
        <v>800</v>
      </c>
      <c r="B278" t="s">
        <v>300</v>
      </c>
      <c r="C278">
        <v>44</v>
      </c>
      <c r="D278" t="s">
        <v>16</v>
      </c>
      <c r="E278" t="s">
        <v>17</v>
      </c>
      <c r="F278">
        <v>703</v>
      </c>
      <c r="G278" t="s">
        <v>32</v>
      </c>
    </row>
    <row r="279" spans="1:7" x14ac:dyDescent="0.25">
      <c r="A279" t="s">
        <v>801</v>
      </c>
      <c r="B279" t="s">
        <v>301</v>
      </c>
      <c r="C279">
        <v>62</v>
      </c>
      <c r="D279" t="s">
        <v>16</v>
      </c>
      <c r="E279" t="s">
        <v>17</v>
      </c>
      <c r="F279">
        <v>812</v>
      </c>
      <c r="G279" t="s">
        <v>18</v>
      </c>
    </row>
    <row r="280" spans="1:7" x14ac:dyDescent="0.25">
      <c r="A280" t="s">
        <v>802</v>
      </c>
      <c r="B280" t="s">
        <v>302</v>
      </c>
      <c r="C280">
        <v>48</v>
      </c>
      <c r="D280" t="s">
        <v>16</v>
      </c>
      <c r="E280" t="s">
        <v>23</v>
      </c>
      <c r="F280">
        <v>772</v>
      </c>
      <c r="G280" t="s">
        <v>18</v>
      </c>
    </row>
    <row r="281" spans="1:7" x14ac:dyDescent="0.25">
      <c r="A281" t="s">
        <v>803</v>
      </c>
      <c r="B281" t="s">
        <v>303</v>
      </c>
      <c r="C281">
        <v>52</v>
      </c>
      <c r="D281" t="s">
        <v>16</v>
      </c>
      <c r="E281" t="s">
        <v>23</v>
      </c>
      <c r="F281">
        <v>720</v>
      </c>
      <c r="G281" t="s">
        <v>32</v>
      </c>
    </row>
    <row r="282" spans="1:7" x14ac:dyDescent="0.25">
      <c r="A282" t="s">
        <v>804</v>
      </c>
      <c r="B282" t="s">
        <v>304</v>
      </c>
      <c r="C282">
        <v>43</v>
      </c>
      <c r="D282" t="s">
        <v>16</v>
      </c>
      <c r="E282" t="s">
        <v>23</v>
      </c>
      <c r="F282">
        <v>700</v>
      </c>
      <c r="G282" t="s">
        <v>32</v>
      </c>
    </row>
    <row r="283" spans="1:7" x14ac:dyDescent="0.25">
      <c r="A283" t="s">
        <v>805</v>
      </c>
      <c r="B283" t="s">
        <v>305</v>
      </c>
      <c r="C283">
        <v>44</v>
      </c>
      <c r="D283" t="s">
        <v>16</v>
      </c>
      <c r="E283" t="s">
        <v>23</v>
      </c>
      <c r="F283">
        <v>683</v>
      </c>
      <c r="G283" t="s">
        <v>26</v>
      </c>
    </row>
    <row r="284" spans="1:7" x14ac:dyDescent="0.25">
      <c r="A284" t="s">
        <v>806</v>
      </c>
      <c r="B284" t="s">
        <v>306</v>
      </c>
      <c r="C284">
        <v>58</v>
      </c>
      <c r="D284" t="s">
        <v>16</v>
      </c>
      <c r="E284" t="s">
        <v>23</v>
      </c>
      <c r="F284">
        <v>605</v>
      </c>
      <c r="G284" t="s">
        <v>21</v>
      </c>
    </row>
    <row r="285" spans="1:7" x14ac:dyDescent="0.25">
      <c r="A285" t="s">
        <v>807</v>
      </c>
      <c r="B285" t="s">
        <v>307</v>
      </c>
      <c r="C285">
        <v>53</v>
      </c>
      <c r="D285" t="s">
        <v>16</v>
      </c>
      <c r="E285" t="s">
        <v>20</v>
      </c>
      <c r="F285">
        <v>565</v>
      </c>
      <c r="G285" t="s">
        <v>21</v>
      </c>
    </row>
    <row r="286" spans="1:7" x14ac:dyDescent="0.25">
      <c r="A286" t="s">
        <v>808</v>
      </c>
      <c r="B286" t="s">
        <v>308</v>
      </c>
      <c r="C286">
        <v>30</v>
      </c>
      <c r="D286" t="s">
        <v>16</v>
      </c>
      <c r="E286" t="s">
        <v>20</v>
      </c>
      <c r="F286">
        <v>706</v>
      </c>
      <c r="G286" t="s">
        <v>32</v>
      </c>
    </row>
    <row r="287" spans="1:7" x14ac:dyDescent="0.25">
      <c r="A287" t="s">
        <v>809</v>
      </c>
      <c r="B287" t="s">
        <v>309</v>
      </c>
      <c r="C287">
        <v>32</v>
      </c>
      <c r="D287" t="s">
        <v>16</v>
      </c>
      <c r="E287" t="s">
        <v>17</v>
      </c>
      <c r="F287">
        <v>713</v>
      </c>
      <c r="G287" t="s">
        <v>32</v>
      </c>
    </row>
    <row r="288" spans="1:7" x14ac:dyDescent="0.25">
      <c r="A288" t="s">
        <v>810</v>
      </c>
      <c r="B288" t="s">
        <v>310</v>
      </c>
      <c r="C288">
        <v>23</v>
      </c>
      <c r="D288" t="s">
        <v>16</v>
      </c>
      <c r="E288" t="s">
        <v>17</v>
      </c>
      <c r="F288">
        <v>648</v>
      </c>
      <c r="G288" t="s">
        <v>21</v>
      </c>
    </row>
    <row r="289" spans="1:7" x14ac:dyDescent="0.25">
      <c r="A289" t="s">
        <v>811</v>
      </c>
      <c r="B289" t="s">
        <v>311</v>
      </c>
      <c r="C289">
        <v>36</v>
      </c>
      <c r="D289" t="s">
        <v>28</v>
      </c>
      <c r="E289" t="s">
        <v>17</v>
      </c>
      <c r="F289">
        <v>720</v>
      </c>
      <c r="G289" t="s">
        <v>32</v>
      </c>
    </row>
    <row r="290" spans="1:7" x14ac:dyDescent="0.25">
      <c r="A290" t="s">
        <v>812</v>
      </c>
      <c r="B290" t="s">
        <v>312</v>
      </c>
      <c r="C290">
        <v>25</v>
      </c>
      <c r="D290" t="s">
        <v>28</v>
      </c>
      <c r="E290" t="s">
        <v>20</v>
      </c>
      <c r="F290">
        <v>683</v>
      </c>
      <c r="G290" t="s">
        <v>26</v>
      </c>
    </row>
    <row r="291" spans="1:7" x14ac:dyDescent="0.25">
      <c r="A291" t="s">
        <v>813</v>
      </c>
      <c r="B291" t="s">
        <v>313</v>
      </c>
      <c r="C291">
        <v>40</v>
      </c>
      <c r="D291" t="s">
        <v>28</v>
      </c>
      <c r="E291" t="s">
        <v>20</v>
      </c>
      <c r="F291">
        <v>597</v>
      </c>
      <c r="G291" t="s">
        <v>21</v>
      </c>
    </row>
    <row r="292" spans="1:7" x14ac:dyDescent="0.25">
      <c r="A292" t="s">
        <v>814</v>
      </c>
      <c r="B292" t="s">
        <v>314</v>
      </c>
      <c r="C292">
        <v>32</v>
      </c>
      <c r="D292" t="s">
        <v>28</v>
      </c>
      <c r="E292" t="s">
        <v>23</v>
      </c>
      <c r="F292">
        <v>687</v>
      </c>
      <c r="G292" t="s">
        <v>26</v>
      </c>
    </row>
    <row r="293" spans="1:7" x14ac:dyDescent="0.25">
      <c r="A293" t="s">
        <v>815</v>
      </c>
      <c r="B293" t="s">
        <v>315</v>
      </c>
      <c r="C293">
        <v>28</v>
      </c>
      <c r="D293" t="s">
        <v>16</v>
      </c>
      <c r="E293" t="s">
        <v>23</v>
      </c>
      <c r="F293">
        <v>576</v>
      </c>
      <c r="G293" t="s">
        <v>21</v>
      </c>
    </row>
    <row r="294" spans="1:7" x14ac:dyDescent="0.25">
      <c r="A294" t="s">
        <v>816</v>
      </c>
      <c r="B294" t="s">
        <v>316</v>
      </c>
      <c r="C294">
        <v>43</v>
      </c>
      <c r="D294" t="s">
        <v>28</v>
      </c>
      <c r="E294" t="s">
        <v>20</v>
      </c>
      <c r="F294">
        <v>595</v>
      </c>
      <c r="G294" t="s">
        <v>21</v>
      </c>
    </row>
    <row r="295" spans="1:7" x14ac:dyDescent="0.25">
      <c r="A295" t="s">
        <v>817</v>
      </c>
      <c r="B295" t="s">
        <v>317</v>
      </c>
      <c r="C295">
        <v>39</v>
      </c>
      <c r="D295" t="s">
        <v>28</v>
      </c>
      <c r="E295" t="s">
        <v>23</v>
      </c>
      <c r="F295">
        <v>718</v>
      </c>
      <c r="G295" t="s">
        <v>32</v>
      </c>
    </row>
    <row r="296" spans="1:7" x14ac:dyDescent="0.25">
      <c r="A296" t="s">
        <v>818</v>
      </c>
      <c r="B296" t="s">
        <v>318</v>
      </c>
      <c r="C296">
        <v>27</v>
      </c>
      <c r="D296" t="s">
        <v>16</v>
      </c>
      <c r="E296" t="s">
        <v>17</v>
      </c>
      <c r="F296">
        <v>632</v>
      </c>
      <c r="G296" t="s">
        <v>21</v>
      </c>
    </row>
    <row r="297" spans="1:7" x14ac:dyDescent="0.25">
      <c r="A297" t="s">
        <v>819</v>
      </c>
      <c r="B297" t="s">
        <v>319</v>
      </c>
      <c r="C297">
        <v>28</v>
      </c>
      <c r="D297" t="s">
        <v>16</v>
      </c>
      <c r="E297" t="s">
        <v>20</v>
      </c>
      <c r="F297">
        <v>839</v>
      </c>
      <c r="G297" t="s">
        <v>18</v>
      </c>
    </row>
    <row r="298" spans="1:7" x14ac:dyDescent="0.25">
      <c r="A298" t="s">
        <v>820</v>
      </c>
      <c r="B298" t="s">
        <v>320</v>
      </c>
      <c r="C298">
        <v>30</v>
      </c>
      <c r="D298" t="s">
        <v>16</v>
      </c>
      <c r="E298" t="s">
        <v>20</v>
      </c>
      <c r="F298">
        <v>596</v>
      </c>
      <c r="G298" t="s">
        <v>21</v>
      </c>
    </row>
    <row r="299" spans="1:7" x14ac:dyDescent="0.25">
      <c r="A299" t="s">
        <v>821</v>
      </c>
      <c r="B299" t="s">
        <v>321</v>
      </c>
      <c r="C299">
        <v>60</v>
      </c>
      <c r="D299" t="s">
        <v>16</v>
      </c>
      <c r="E299" t="s">
        <v>23</v>
      </c>
      <c r="F299">
        <v>565</v>
      </c>
      <c r="G299" t="s">
        <v>21</v>
      </c>
    </row>
    <row r="300" spans="1:7" x14ac:dyDescent="0.25">
      <c r="A300" t="s">
        <v>822</v>
      </c>
      <c r="B300" t="s">
        <v>322</v>
      </c>
      <c r="C300">
        <v>26</v>
      </c>
      <c r="D300" t="s">
        <v>28</v>
      </c>
      <c r="E300" t="s">
        <v>23</v>
      </c>
      <c r="F300">
        <v>788</v>
      </c>
      <c r="G300" t="s">
        <v>18</v>
      </c>
    </row>
    <row r="301" spans="1:7" x14ac:dyDescent="0.25">
      <c r="A301" t="s">
        <v>823</v>
      </c>
      <c r="B301" t="s">
        <v>323</v>
      </c>
      <c r="C301">
        <v>61</v>
      </c>
      <c r="D301" t="s">
        <v>16</v>
      </c>
      <c r="E301" t="s">
        <v>20</v>
      </c>
      <c r="F301">
        <v>667</v>
      </c>
      <c r="G301" t="s">
        <v>26</v>
      </c>
    </row>
    <row r="302" spans="1:7" x14ac:dyDescent="0.25">
      <c r="A302" t="s">
        <v>824</v>
      </c>
      <c r="B302" t="s">
        <v>324</v>
      </c>
      <c r="C302">
        <v>39</v>
      </c>
      <c r="D302" t="s">
        <v>16</v>
      </c>
      <c r="E302" t="s">
        <v>17</v>
      </c>
      <c r="F302">
        <v>730</v>
      </c>
      <c r="G302" t="s">
        <v>32</v>
      </c>
    </row>
    <row r="303" spans="1:7" x14ac:dyDescent="0.25">
      <c r="A303" t="s">
        <v>825</v>
      </c>
      <c r="B303" t="s">
        <v>325</v>
      </c>
      <c r="C303">
        <v>56</v>
      </c>
      <c r="D303" t="s">
        <v>16</v>
      </c>
      <c r="E303" t="s">
        <v>17</v>
      </c>
      <c r="F303">
        <v>640</v>
      </c>
      <c r="G303" t="s">
        <v>21</v>
      </c>
    </row>
    <row r="304" spans="1:7" x14ac:dyDescent="0.25">
      <c r="A304" t="s">
        <v>826</v>
      </c>
      <c r="B304" t="s">
        <v>326</v>
      </c>
      <c r="C304">
        <v>65</v>
      </c>
      <c r="D304" t="s">
        <v>16</v>
      </c>
      <c r="E304" t="s">
        <v>17</v>
      </c>
      <c r="F304">
        <v>707</v>
      </c>
      <c r="G304" t="s">
        <v>32</v>
      </c>
    </row>
    <row r="305" spans="1:7" x14ac:dyDescent="0.25">
      <c r="A305" t="s">
        <v>827</v>
      </c>
      <c r="B305" t="s">
        <v>327</v>
      </c>
      <c r="C305">
        <v>21</v>
      </c>
      <c r="D305" t="s">
        <v>28</v>
      </c>
      <c r="E305" t="s">
        <v>17</v>
      </c>
      <c r="F305">
        <v>588</v>
      </c>
      <c r="G305" t="s">
        <v>21</v>
      </c>
    </row>
    <row r="306" spans="1:7" x14ac:dyDescent="0.25">
      <c r="A306" t="s">
        <v>828</v>
      </c>
      <c r="B306" t="s">
        <v>328</v>
      </c>
      <c r="C306">
        <v>46</v>
      </c>
      <c r="D306" t="s">
        <v>28</v>
      </c>
      <c r="E306" t="s">
        <v>17</v>
      </c>
      <c r="F306">
        <v>674</v>
      </c>
      <c r="G306" t="s">
        <v>26</v>
      </c>
    </row>
    <row r="307" spans="1:7" x14ac:dyDescent="0.25">
      <c r="A307" t="s">
        <v>829</v>
      </c>
      <c r="B307" t="s">
        <v>329</v>
      </c>
      <c r="C307">
        <v>23</v>
      </c>
      <c r="D307" t="s">
        <v>16</v>
      </c>
      <c r="E307" t="s">
        <v>23</v>
      </c>
      <c r="F307">
        <v>841</v>
      </c>
      <c r="G307" t="s">
        <v>18</v>
      </c>
    </row>
    <row r="308" spans="1:7" x14ac:dyDescent="0.25">
      <c r="A308" t="s">
        <v>830</v>
      </c>
      <c r="B308" t="s">
        <v>330</v>
      </c>
      <c r="C308">
        <v>32</v>
      </c>
      <c r="D308" t="s">
        <v>16</v>
      </c>
      <c r="E308" t="s">
        <v>23</v>
      </c>
      <c r="F308">
        <v>579</v>
      </c>
      <c r="G308" t="s">
        <v>21</v>
      </c>
    </row>
    <row r="309" spans="1:7" x14ac:dyDescent="0.25">
      <c r="A309" t="s">
        <v>831</v>
      </c>
      <c r="B309" t="s">
        <v>331</v>
      </c>
      <c r="C309">
        <v>28</v>
      </c>
      <c r="D309" t="s">
        <v>28</v>
      </c>
      <c r="E309" t="s">
        <v>23</v>
      </c>
      <c r="F309">
        <v>713</v>
      </c>
      <c r="G309" t="s">
        <v>32</v>
      </c>
    </row>
    <row r="310" spans="1:7" x14ac:dyDescent="0.25">
      <c r="A310" t="s">
        <v>832</v>
      </c>
      <c r="B310" t="s">
        <v>332</v>
      </c>
      <c r="C310">
        <v>55</v>
      </c>
      <c r="D310" t="s">
        <v>16</v>
      </c>
      <c r="E310" t="s">
        <v>17</v>
      </c>
      <c r="F310">
        <v>705</v>
      </c>
      <c r="G310" t="s">
        <v>32</v>
      </c>
    </row>
    <row r="311" spans="1:7" x14ac:dyDescent="0.25">
      <c r="A311" t="s">
        <v>833</v>
      </c>
      <c r="B311" t="s">
        <v>333</v>
      </c>
      <c r="C311">
        <v>43</v>
      </c>
      <c r="D311" t="s">
        <v>28</v>
      </c>
      <c r="E311" t="s">
        <v>17</v>
      </c>
      <c r="F311">
        <v>735</v>
      </c>
      <c r="G311" t="s">
        <v>32</v>
      </c>
    </row>
    <row r="312" spans="1:7" x14ac:dyDescent="0.25">
      <c r="A312" t="s">
        <v>834</v>
      </c>
      <c r="B312" t="s">
        <v>334</v>
      </c>
      <c r="C312">
        <v>50</v>
      </c>
      <c r="D312" t="s">
        <v>16</v>
      </c>
      <c r="E312" t="s">
        <v>20</v>
      </c>
      <c r="F312">
        <v>790</v>
      </c>
      <c r="G312" t="s">
        <v>18</v>
      </c>
    </row>
    <row r="313" spans="1:7" x14ac:dyDescent="0.25">
      <c r="A313" t="s">
        <v>835</v>
      </c>
      <c r="B313" t="s">
        <v>335</v>
      </c>
      <c r="C313">
        <v>34</v>
      </c>
      <c r="D313" t="s">
        <v>16</v>
      </c>
      <c r="E313" t="s">
        <v>17</v>
      </c>
      <c r="F313">
        <v>589</v>
      </c>
      <c r="G313" t="s">
        <v>21</v>
      </c>
    </row>
    <row r="314" spans="1:7" x14ac:dyDescent="0.25">
      <c r="A314" t="s">
        <v>836</v>
      </c>
      <c r="B314" t="s">
        <v>336</v>
      </c>
      <c r="C314">
        <v>43</v>
      </c>
      <c r="D314" t="s">
        <v>28</v>
      </c>
      <c r="E314" t="s">
        <v>17</v>
      </c>
      <c r="F314">
        <v>668</v>
      </c>
      <c r="G314" t="s">
        <v>26</v>
      </c>
    </row>
    <row r="315" spans="1:7" x14ac:dyDescent="0.25">
      <c r="A315" t="s">
        <v>837</v>
      </c>
      <c r="B315" t="s">
        <v>337</v>
      </c>
      <c r="C315">
        <v>57</v>
      </c>
      <c r="D315" t="s">
        <v>16</v>
      </c>
      <c r="E315" t="s">
        <v>20</v>
      </c>
      <c r="F315">
        <v>753</v>
      </c>
      <c r="G315" t="s">
        <v>18</v>
      </c>
    </row>
    <row r="316" spans="1:7" x14ac:dyDescent="0.25">
      <c r="A316" t="s">
        <v>838</v>
      </c>
      <c r="B316" t="s">
        <v>338</v>
      </c>
      <c r="C316">
        <v>36</v>
      </c>
      <c r="D316" t="s">
        <v>16</v>
      </c>
      <c r="E316" t="s">
        <v>23</v>
      </c>
      <c r="F316">
        <v>588</v>
      </c>
      <c r="G316" t="s">
        <v>21</v>
      </c>
    </row>
    <row r="317" spans="1:7" x14ac:dyDescent="0.25">
      <c r="A317" t="s">
        <v>839</v>
      </c>
      <c r="B317" t="s">
        <v>339</v>
      </c>
      <c r="C317">
        <v>63</v>
      </c>
      <c r="D317" t="s">
        <v>28</v>
      </c>
      <c r="E317" t="s">
        <v>20</v>
      </c>
      <c r="F317">
        <v>727</v>
      </c>
      <c r="G317" t="s">
        <v>32</v>
      </c>
    </row>
    <row r="318" spans="1:7" x14ac:dyDescent="0.25">
      <c r="A318" t="s">
        <v>840</v>
      </c>
      <c r="B318" t="s">
        <v>340</v>
      </c>
      <c r="C318">
        <v>64</v>
      </c>
      <c r="D318" t="s">
        <v>16</v>
      </c>
      <c r="E318" t="s">
        <v>23</v>
      </c>
      <c r="F318">
        <v>764</v>
      </c>
      <c r="G318" t="s">
        <v>18</v>
      </c>
    </row>
    <row r="319" spans="1:7" x14ac:dyDescent="0.25">
      <c r="A319" t="s">
        <v>841</v>
      </c>
      <c r="B319" t="s">
        <v>341</v>
      </c>
      <c r="C319">
        <v>51</v>
      </c>
      <c r="D319" t="s">
        <v>28</v>
      </c>
      <c r="E319" t="s">
        <v>17</v>
      </c>
      <c r="F319">
        <v>718</v>
      </c>
      <c r="G319" t="s">
        <v>32</v>
      </c>
    </row>
    <row r="320" spans="1:7" x14ac:dyDescent="0.25">
      <c r="A320" t="s">
        <v>842</v>
      </c>
      <c r="B320" t="s">
        <v>342</v>
      </c>
      <c r="C320">
        <v>65</v>
      </c>
      <c r="D320" t="s">
        <v>16</v>
      </c>
      <c r="E320" t="s">
        <v>17</v>
      </c>
      <c r="F320">
        <v>703</v>
      </c>
      <c r="G320" t="s">
        <v>32</v>
      </c>
    </row>
    <row r="321" spans="1:7" x14ac:dyDescent="0.25">
      <c r="A321" t="s">
        <v>843</v>
      </c>
      <c r="B321" t="s">
        <v>343</v>
      </c>
      <c r="C321">
        <v>22</v>
      </c>
      <c r="D321" t="s">
        <v>28</v>
      </c>
      <c r="E321" t="s">
        <v>23</v>
      </c>
      <c r="F321">
        <v>810</v>
      </c>
      <c r="G321" t="s">
        <v>18</v>
      </c>
    </row>
    <row r="322" spans="1:7" x14ac:dyDescent="0.25">
      <c r="A322" t="s">
        <v>844</v>
      </c>
      <c r="B322" t="s">
        <v>344</v>
      </c>
      <c r="C322">
        <v>28</v>
      </c>
      <c r="D322" t="s">
        <v>16</v>
      </c>
      <c r="E322" t="s">
        <v>17</v>
      </c>
      <c r="F322">
        <v>722</v>
      </c>
      <c r="G322" t="s">
        <v>32</v>
      </c>
    </row>
    <row r="323" spans="1:7" x14ac:dyDescent="0.25">
      <c r="A323" t="s">
        <v>845</v>
      </c>
      <c r="B323" t="s">
        <v>345</v>
      </c>
      <c r="C323">
        <v>35</v>
      </c>
      <c r="D323" t="s">
        <v>16</v>
      </c>
      <c r="E323" t="s">
        <v>17</v>
      </c>
      <c r="F323">
        <v>758</v>
      </c>
      <c r="G323" t="s">
        <v>18</v>
      </c>
    </row>
    <row r="324" spans="1:7" x14ac:dyDescent="0.25">
      <c r="A324" t="s">
        <v>846</v>
      </c>
      <c r="B324" t="s">
        <v>346</v>
      </c>
      <c r="C324">
        <v>55</v>
      </c>
      <c r="D324" t="s">
        <v>28</v>
      </c>
      <c r="E324" t="s">
        <v>20</v>
      </c>
      <c r="F324">
        <v>731</v>
      </c>
      <c r="G324" t="s">
        <v>32</v>
      </c>
    </row>
    <row r="325" spans="1:7" x14ac:dyDescent="0.25">
      <c r="A325" t="s">
        <v>847</v>
      </c>
      <c r="B325" t="s">
        <v>347</v>
      </c>
      <c r="C325">
        <v>63</v>
      </c>
      <c r="D325" t="s">
        <v>28</v>
      </c>
      <c r="E325" t="s">
        <v>23</v>
      </c>
      <c r="F325">
        <v>764</v>
      </c>
      <c r="G325" t="s">
        <v>18</v>
      </c>
    </row>
    <row r="326" spans="1:7" x14ac:dyDescent="0.25">
      <c r="A326" t="s">
        <v>848</v>
      </c>
      <c r="B326" t="s">
        <v>348</v>
      </c>
      <c r="C326">
        <v>34</v>
      </c>
      <c r="D326" t="s">
        <v>28</v>
      </c>
      <c r="E326" t="s">
        <v>17</v>
      </c>
      <c r="F326">
        <v>798</v>
      </c>
      <c r="G326" t="s">
        <v>18</v>
      </c>
    </row>
    <row r="327" spans="1:7" x14ac:dyDescent="0.25">
      <c r="A327" t="s">
        <v>849</v>
      </c>
      <c r="B327" t="s">
        <v>349</v>
      </c>
      <c r="C327">
        <v>40</v>
      </c>
      <c r="D327" t="s">
        <v>28</v>
      </c>
      <c r="E327" t="s">
        <v>23</v>
      </c>
      <c r="F327">
        <v>650</v>
      </c>
      <c r="G327" t="s">
        <v>26</v>
      </c>
    </row>
    <row r="328" spans="1:7" x14ac:dyDescent="0.25">
      <c r="A328" t="s">
        <v>850</v>
      </c>
      <c r="B328" t="s">
        <v>350</v>
      </c>
      <c r="C328">
        <v>21</v>
      </c>
      <c r="D328" t="s">
        <v>28</v>
      </c>
      <c r="E328" t="s">
        <v>20</v>
      </c>
      <c r="F328">
        <v>755</v>
      </c>
      <c r="G328" t="s">
        <v>18</v>
      </c>
    </row>
    <row r="329" spans="1:7" x14ac:dyDescent="0.25">
      <c r="A329" t="s">
        <v>851</v>
      </c>
      <c r="B329" t="s">
        <v>351</v>
      </c>
      <c r="C329">
        <v>26</v>
      </c>
      <c r="D329" t="s">
        <v>16</v>
      </c>
      <c r="E329" t="s">
        <v>20</v>
      </c>
      <c r="F329">
        <v>850</v>
      </c>
      <c r="G329" t="s">
        <v>18</v>
      </c>
    </row>
    <row r="330" spans="1:7" x14ac:dyDescent="0.25">
      <c r="A330" t="s">
        <v>852</v>
      </c>
      <c r="B330" t="s">
        <v>352</v>
      </c>
      <c r="C330">
        <v>50</v>
      </c>
      <c r="D330" t="s">
        <v>16</v>
      </c>
      <c r="E330" t="s">
        <v>23</v>
      </c>
      <c r="F330">
        <v>600</v>
      </c>
      <c r="G330" t="s">
        <v>21</v>
      </c>
    </row>
    <row r="331" spans="1:7" x14ac:dyDescent="0.25">
      <c r="A331" t="s">
        <v>853</v>
      </c>
      <c r="B331" t="s">
        <v>353</v>
      </c>
      <c r="C331">
        <v>24</v>
      </c>
      <c r="D331" t="s">
        <v>16</v>
      </c>
      <c r="E331" t="s">
        <v>17</v>
      </c>
      <c r="F331">
        <v>771</v>
      </c>
      <c r="G331" t="s">
        <v>18</v>
      </c>
    </row>
    <row r="332" spans="1:7" x14ac:dyDescent="0.25">
      <c r="A332" t="s">
        <v>854</v>
      </c>
      <c r="B332" t="s">
        <v>354</v>
      </c>
      <c r="C332">
        <v>32</v>
      </c>
      <c r="D332" t="s">
        <v>16</v>
      </c>
      <c r="E332" t="s">
        <v>17</v>
      </c>
      <c r="F332">
        <v>584</v>
      </c>
      <c r="G332" t="s">
        <v>21</v>
      </c>
    </row>
    <row r="333" spans="1:7" x14ac:dyDescent="0.25">
      <c r="A333" t="s">
        <v>855</v>
      </c>
      <c r="B333" t="s">
        <v>355</v>
      </c>
      <c r="C333">
        <v>35</v>
      </c>
      <c r="D333" t="s">
        <v>28</v>
      </c>
      <c r="E333" t="s">
        <v>17</v>
      </c>
      <c r="F333">
        <v>645</v>
      </c>
      <c r="G333" t="s">
        <v>21</v>
      </c>
    </row>
    <row r="334" spans="1:7" x14ac:dyDescent="0.25">
      <c r="A334" t="s">
        <v>856</v>
      </c>
      <c r="B334" t="s">
        <v>356</v>
      </c>
      <c r="C334">
        <v>58</v>
      </c>
      <c r="D334" t="s">
        <v>16</v>
      </c>
      <c r="E334" t="s">
        <v>23</v>
      </c>
      <c r="F334">
        <v>786</v>
      </c>
      <c r="G334" t="s">
        <v>18</v>
      </c>
    </row>
    <row r="335" spans="1:7" x14ac:dyDescent="0.25">
      <c r="A335" t="s">
        <v>857</v>
      </c>
      <c r="B335" t="s">
        <v>357</v>
      </c>
      <c r="C335">
        <v>37</v>
      </c>
      <c r="D335" t="s">
        <v>16</v>
      </c>
      <c r="E335" t="s">
        <v>17</v>
      </c>
      <c r="F335">
        <v>652</v>
      </c>
      <c r="G335" t="s">
        <v>26</v>
      </c>
    </row>
    <row r="336" spans="1:7" x14ac:dyDescent="0.25">
      <c r="A336" t="s">
        <v>858</v>
      </c>
      <c r="B336" t="s">
        <v>358</v>
      </c>
      <c r="C336">
        <v>65</v>
      </c>
      <c r="D336" t="s">
        <v>28</v>
      </c>
      <c r="E336" t="s">
        <v>20</v>
      </c>
      <c r="F336">
        <v>807</v>
      </c>
      <c r="G336" t="s">
        <v>18</v>
      </c>
    </row>
    <row r="337" spans="1:7" x14ac:dyDescent="0.25">
      <c r="A337" t="s">
        <v>859</v>
      </c>
      <c r="B337" t="s">
        <v>359</v>
      </c>
      <c r="C337">
        <v>28</v>
      </c>
      <c r="D337" t="s">
        <v>16</v>
      </c>
      <c r="E337" t="s">
        <v>23</v>
      </c>
      <c r="F337">
        <v>682</v>
      </c>
      <c r="G337" t="s">
        <v>26</v>
      </c>
    </row>
    <row r="338" spans="1:7" x14ac:dyDescent="0.25">
      <c r="A338" t="s">
        <v>860</v>
      </c>
      <c r="B338" t="s">
        <v>360</v>
      </c>
      <c r="C338">
        <v>64</v>
      </c>
      <c r="D338" t="s">
        <v>16</v>
      </c>
      <c r="E338" t="s">
        <v>17</v>
      </c>
      <c r="F338">
        <v>671</v>
      </c>
      <c r="G338" t="s">
        <v>26</v>
      </c>
    </row>
    <row r="339" spans="1:7" x14ac:dyDescent="0.25">
      <c r="A339" t="s">
        <v>861</v>
      </c>
      <c r="B339" t="s">
        <v>361</v>
      </c>
      <c r="C339">
        <v>40</v>
      </c>
      <c r="D339" t="s">
        <v>28</v>
      </c>
      <c r="E339" t="s">
        <v>23</v>
      </c>
      <c r="F339">
        <v>708</v>
      </c>
      <c r="G339" t="s">
        <v>32</v>
      </c>
    </row>
    <row r="340" spans="1:7" x14ac:dyDescent="0.25">
      <c r="A340" t="s">
        <v>862</v>
      </c>
      <c r="B340" t="s">
        <v>362</v>
      </c>
      <c r="C340">
        <v>52</v>
      </c>
      <c r="D340" t="s">
        <v>16</v>
      </c>
      <c r="E340" t="s">
        <v>23</v>
      </c>
      <c r="F340">
        <v>816</v>
      </c>
      <c r="G340" t="s">
        <v>18</v>
      </c>
    </row>
    <row r="341" spans="1:7" x14ac:dyDescent="0.25">
      <c r="A341" t="s">
        <v>863</v>
      </c>
      <c r="B341" t="s">
        <v>363</v>
      </c>
      <c r="C341">
        <v>22</v>
      </c>
      <c r="D341" t="s">
        <v>28</v>
      </c>
      <c r="E341" t="s">
        <v>17</v>
      </c>
      <c r="F341">
        <v>702</v>
      </c>
      <c r="G341" t="s">
        <v>32</v>
      </c>
    </row>
    <row r="342" spans="1:7" x14ac:dyDescent="0.25">
      <c r="A342" t="s">
        <v>864</v>
      </c>
      <c r="B342" t="s">
        <v>364</v>
      </c>
      <c r="C342">
        <v>51</v>
      </c>
      <c r="D342" t="s">
        <v>28</v>
      </c>
      <c r="E342" t="s">
        <v>20</v>
      </c>
      <c r="F342">
        <v>803</v>
      </c>
      <c r="G342" t="s">
        <v>18</v>
      </c>
    </row>
    <row r="343" spans="1:7" x14ac:dyDescent="0.25">
      <c r="A343" t="s">
        <v>865</v>
      </c>
      <c r="B343" t="s">
        <v>365</v>
      </c>
      <c r="C343">
        <v>31</v>
      </c>
      <c r="D343" t="s">
        <v>28</v>
      </c>
      <c r="E343" t="s">
        <v>23</v>
      </c>
      <c r="F343">
        <v>666</v>
      </c>
      <c r="G343" t="s">
        <v>26</v>
      </c>
    </row>
    <row r="344" spans="1:7" x14ac:dyDescent="0.25">
      <c r="A344" t="s">
        <v>866</v>
      </c>
      <c r="B344" t="s">
        <v>366</v>
      </c>
      <c r="C344">
        <v>45</v>
      </c>
      <c r="D344" t="s">
        <v>28</v>
      </c>
      <c r="E344" t="s">
        <v>23</v>
      </c>
      <c r="F344">
        <v>842</v>
      </c>
      <c r="G344" t="s">
        <v>18</v>
      </c>
    </row>
    <row r="345" spans="1:7" x14ac:dyDescent="0.25">
      <c r="A345" t="s">
        <v>867</v>
      </c>
      <c r="B345" t="s">
        <v>367</v>
      </c>
      <c r="C345">
        <v>56</v>
      </c>
      <c r="D345" t="s">
        <v>16</v>
      </c>
      <c r="E345" t="s">
        <v>17</v>
      </c>
      <c r="F345">
        <v>818</v>
      </c>
      <c r="G345" t="s">
        <v>18</v>
      </c>
    </row>
    <row r="346" spans="1:7" x14ac:dyDescent="0.25">
      <c r="A346" t="s">
        <v>868</v>
      </c>
      <c r="B346" t="s">
        <v>368</v>
      </c>
      <c r="C346">
        <v>42</v>
      </c>
      <c r="D346" t="s">
        <v>16</v>
      </c>
      <c r="E346" t="s">
        <v>20</v>
      </c>
      <c r="F346">
        <v>810</v>
      </c>
      <c r="G346" t="s">
        <v>18</v>
      </c>
    </row>
    <row r="347" spans="1:7" x14ac:dyDescent="0.25">
      <c r="A347" t="s">
        <v>869</v>
      </c>
      <c r="B347" t="s">
        <v>369</v>
      </c>
      <c r="C347">
        <v>33</v>
      </c>
      <c r="D347" t="s">
        <v>16</v>
      </c>
      <c r="E347" t="s">
        <v>17</v>
      </c>
      <c r="F347">
        <v>685</v>
      </c>
      <c r="G347" t="s">
        <v>26</v>
      </c>
    </row>
    <row r="348" spans="1:7" x14ac:dyDescent="0.25">
      <c r="A348" t="s">
        <v>870</v>
      </c>
      <c r="B348" t="s">
        <v>370</v>
      </c>
      <c r="C348">
        <v>58</v>
      </c>
      <c r="D348" t="s">
        <v>16</v>
      </c>
      <c r="E348" t="s">
        <v>20</v>
      </c>
      <c r="F348">
        <v>631</v>
      </c>
      <c r="G348" t="s">
        <v>21</v>
      </c>
    </row>
    <row r="349" spans="1:7" x14ac:dyDescent="0.25">
      <c r="A349" t="s">
        <v>871</v>
      </c>
      <c r="B349" t="s">
        <v>371</v>
      </c>
      <c r="C349">
        <v>63</v>
      </c>
      <c r="D349" t="s">
        <v>16</v>
      </c>
      <c r="E349" t="s">
        <v>17</v>
      </c>
      <c r="F349">
        <v>565</v>
      </c>
      <c r="G349" t="s">
        <v>21</v>
      </c>
    </row>
    <row r="350" spans="1:7" x14ac:dyDescent="0.25">
      <c r="A350" t="s">
        <v>872</v>
      </c>
      <c r="B350" t="s">
        <v>372</v>
      </c>
      <c r="C350">
        <v>22</v>
      </c>
      <c r="D350" t="s">
        <v>28</v>
      </c>
      <c r="E350" t="s">
        <v>17</v>
      </c>
      <c r="F350">
        <v>825</v>
      </c>
      <c r="G350" t="s">
        <v>18</v>
      </c>
    </row>
    <row r="351" spans="1:7" x14ac:dyDescent="0.25">
      <c r="A351" t="s">
        <v>873</v>
      </c>
      <c r="B351" t="s">
        <v>373</v>
      </c>
      <c r="C351">
        <v>64</v>
      </c>
      <c r="D351" t="s">
        <v>28</v>
      </c>
      <c r="E351" t="s">
        <v>20</v>
      </c>
      <c r="F351">
        <v>620</v>
      </c>
      <c r="G351" t="s">
        <v>21</v>
      </c>
    </row>
    <row r="352" spans="1:7" x14ac:dyDescent="0.25">
      <c r="A352" t="s">
        <v>874</v>
      </c>
      <c r="B352" t="s">
        <v>374</v>
      </c>
      <c r="C352">
        <v>53</v>
      </c>
      <c r="D352" t="s">
        <v>16</v>
      </c>
      <c r="E352" t="s">
        <v>23</v>
      </c>
      <c r="F352">
        <v>583</v>
      </c>
      <c r="G352" t="s">
        <v>21</v>
      </c>
    </row>
    <row r="353" spans="1:7" x14ac:dyDescent="0.25">
      <c r="A353" t="s">
        <v>875</v>
      </c>
      <c r="B353" t="s">
        <v>375</v>
      </c>
      <c r="C353">
        <v>53</v>
      </c>
      <c r="D353" t="s">
        <v>16</v>
      </c>
      <c r="E353" t="s">
        <v>17</v>
      </c>
      <c r="F353">
        <v>814</v>
      </c>
      <c r="G353" t="s">
        <v>18</v>
      </c>
    </row>
    <row r="354" spans="1:7" x14ac:dyDescent="0.25">
      <c r="A354" t="s">
        <v>876</v>
      </c>
      <c r="B354" t="s">
        <v>376</v>
      </c>
      <c r="C354">
        <v>62</v>
      </c>
      <c r="D354" t="s">
        <v>16</v>
      </c>
      <c r="E354" t="s">
        <v>23</v>
      </c>
      <c r="F354">
        <v>767</v>
      </c>
      <c r="G354" t="s">
        <v>18</v>
      </c>
    </row>
    <row r="355" spans="1:7" x14ac:dyDescent="0.25">
      <c r="A355" t="s">
        <v>877</v>
      </c>
      <c r="B355" t="s">
        <v>377</v>
      </c>
      <c r="C355">
        <v>52</v>
      </c>
      <c r="D355" t="s">
        <v>16</v>
      </c>
      <c r="E355" t="s">
        <v>20</v>
      </c>
      <c r="F355">
        <v>580</v>
      </c>
      <c r="G355" t="s">
        <v>21</v>
      </c>
    </row>
    <row r="356" spans="1:7" x14ac:dyDescent="0.25">
      <c r="A356" t="s">
        <v>878</v>
      </c>
      <c r="B356" t="s">
        <v>378</v>
      </c>
      <c r="C356">
        <v>44</v>
      </c>
      <c r="D356" t="s">
        <v>28</v>
      </c>
      <c r="E356" t="s">
        <v>17</v>
      </c>
      <c r="F356">
        <v>595</v>
      </c>
      <c r="G356" t="s">
        <v>21</v>
      </c>
    </row>
    <row r="357" spans="1:7" x14ac:dyDescent="0.25">
      <c r="A357" t="s">
        <v>879</v>
      </c>
      <c r="B357" t="s">
        <v>379</v>
      </c>
      <c r="C357">
        <v>26</v>
      </c>
      <c r="D357" t="s">
        <v>16</v>
      </c>
      <c r="E357" t="s">
        <v>23</v>
      </c>
      <c r="F357">
        <v>808</v>
      </c>
      <c r="G357" t="s">
        <v>18</v>
      </c>
    </row>
    <row r="358" spans="1:7" x14ac:dyDescent="0.25">
      <c r="A358" t="s">
        <v>880</v>
      </c>
      <c r="B358" t="s">
        <v>380</v>
      </c>
      <c r="C358">
        <v>62</v>
      </c>
      <c r="D358" t="s">
        <v>16</v>
      </c>
      <c r="E358" t="s">
        <v>17</v>
      </c>
      <c r="F358">
        <v>657</v>
      </c>
      <c r="G358" t="s">
        <v>26</v>
      </c>
    </row>
    <row r="359" spans="1:7" x14ac:dyDescent="0.25">
      <c r="A359" t="s">
        <v>881</v>
      </c>
      <c r="B359" t="s">
        <v>381</v>
      </c>
      <c r="C359">
        <v>54</v>
      </c>
      <c r="D359" t="s">
        <v>28</v>
      </c>
      <c r="E359" t="s">
        <v>23</v>
      </c>
      <c r="F359">
        <v>646</v>
      </c>
      <c r="G359" t="s">
        <v>21</v>
      </c>
    </row>
    <row r="360" spans="1:7" x14ac:dyDescent="0.25">
      <c r="A360" t="s">
        <v>882</v>
      </c>
      <c r="B360" t="s">
        <v>382</v>
      </c>
      <c r="C360">
        <v>64</v>
      </c>
      <c r="D360" t="s">
        <v>16</v>
      </c>
      <c r="E360" t="s">
        <v>20</v>
      </c>
      <c r="F360">
        <v>569</v>
      </c>
      <c r="G360" t="s">
        <v>21</v>
      </c>
    </row>
    <row r="361" spans="1:7" x14ac:dyDescent="0.25">
      <c r="A361" t="s">
        <v>883</v>
      </c>
      <c r="B361" t="s">
        <v>383</v>
      </c>
      <c r="C361">
        <v>40</v>
      </c>
      <c r="D361" t="s">
        <v>28</v>
      </c>
      <c r="E361" t="s">
        <v>20</v>
      </c>
      <c r="F361">
        <v>601</v>
      </c>
      <c r="G361" t="s">
        <v>21</v>
      </c>
    </row>
    <row r="362" spans="1:7" x14ac:dyDescent="0.25">
      <c r="A362" t="s">
        <v>884</v>
      </c>
      <c r="B362" t="s">
        <v>384</v>
      </c>
      <c r="C362">
        <v>41</v>
      </c>
      <c r="D362" t="s">
        <v>16</v>
      </c>
      <c r="E362" t="s">
        <v>20</v>
      </c>
      <c r="F362">
        <v>550</v>
      </c>
      <c r="G362" t="s">
        <v>21</v>
      </c>
    </row>
    <row r="363" spans="1:7" x14ac:dyDescent="0.25">
      <c r="A363" t="s">
        <v>885</v>
      </c>
      <c r="B363" t="s">
        <v>385</v>
      </c>
      <c r="C363">
        <v>46</v>
      </c>
      <c r="D363" t="s">
        <v>16</v>
      </c>
      <c r="E363" t="s">
        <v>23</v>
      </c>
      <c r="F363">
        <v>709</v>
      </c>
      <c r="G363" t="s">
        <v>32</v>
      </c>
    </row>
    <row r="364" spans="1:7" x14ac:dyDescent="0.25">
      <c r="A364" t="s">
        <v>886</v>
      </c>
      <c r="B364" t="s">
        <v>386</v>
      </c>
      <c r="C364">
        <v>27</v>
      </c>
      <c r="D364" t="s">
        <v>16</v>
      </c>
      <c r="E364" t="s">
        <v>17</v>
      </c>
      <c r="F364">
        <v>619</v>
      </c>
      <c r="G364" t="s">
        <v>21</v>
      </c>
    </row>
    <row r="365" spans="1:7" x14ac:dyDescent="0.25">
      <c r="A365" t="s">
        <v>887</v>
      </c>
      <c r="B365" t="s">
        <v>387</v>
      </c>
      <c r="C365">
        <v>44</v>
      </c>
      <c r="D365" t="s">
        <v>28</v>
      </c>
      <c r="E365" t="s">
        <v>23</v>
      </c>
      <c r="F365">
        <v>556</v>
      </c>
      <c r="G365" t="s">
        <v>21</v>
      </c>
    </row>
    <row r="366" spans="1:7" x14ac:dyDescent="0.25">
      <c r="A366" t="s">
        <v>888</v>
      </c>
      <c r="B366" t="s">
        <v>388</v>
      </c>
      <c r="C366">
        <v>62</v>
      </c>
      <c r="D366" t="s">
        <v>28</v>
      </c>
      <c r="E366" t="s">
        <v>23</v>
      </c>
      <c r="F366">
        <v>738</v>
      </c>
      <c r="G366" t="s">
        <v>32</v>
      </c>
    </row>
    <row r="367" spans="1:7" x14ac:dyDescent="0.25">
      <c r="A367" t="s">
        <v>889</v>
      </c>
      <c r="B367" t="s">
        <v>389</v>
      </c>
      <c r="C367">
        <v>48</v>
      </c>
      <c r="D367" t="s">
        <v>28</v>
      </c>
      <c r="E367" t="s">
        <v>23</v>
      </c>
      <c r="F367">
        <v>793</v>
      </c>
      <c r="G367" t="s">
        <v>18</v>
      </c>
    </row>
    <row r="368" spans="1:7" x14ac:dyDescent="0.25">
      <c r="A368" t="s">
        <v>890</v>
      </c>
      <c r="B368" t="s">
        <v>390</v>
      </c>
      <c r="C368">
        <v>31</v>
      </c>
      <c r="D368" t="s">
        <v>28</v>
      </c>
      <c r="E368" t="s">
        <v>17</v>
      </c>
      <c r="F368">
        <v>712</v>
      </c>
      <c r="G368" t="s">
        <v>32</v>
      </c>
    </row>
    <row r="369" spans="1:7" x14ac:dyDescent="0.25">
      <c r="A369" t="s">
        <v>891</v>
      </c>
      <c r="B369" t="s">
        <v>391</v>
      </c>
      <c r="C369">
        <v>65</v>
      </c>
      <c r="D369" t="s">
        <v>16</v>
      </c>
      <c r="E369" t="s">
        <v>20</v>
      </c>
      <c r="F369">
        <v>614</v>
      </c>
      <c r="G369" t="s">
        <v>21</v>
      </c>
    </row>
    <row r="370" spans="1:7" x14ac:dyDescent="0.25">
      <c r="A370" t="s">
        <v>892</v>
      </c>
      <c r="B370" t="s">
        <v>392</v>
      </c>
      <c r="C370">
        <v>49</v>
      </c>
      <c r="D370" t="s">
        <v>28</v>
      </c>
      <c r="E370" t="s">
        <v>20</v>
      </c>
      <c r="F370">
        <v>806</v>
      </c>
      <c r="G370" t="s">
        <v>18</v>
      </c>
    </row>
    <row r="371" spans="1:7" x14ac:dyDescent="0.25">
      <c r="A371" t="s">
        <v>893</v>
      </c>
      <c r="B371" t="s">
        <v>393</v>
      </c>
      <c r="C371">
        <v>51</v>
      </c>
      <c r="D371" t="s">
        <v>16</v>
      </c>
      <c r="E371" t="s">
        <v>20</v>
      </c>
      <c r="F371">
        <v>773</v>
      </c>
      <c r="G371" t="s">
        <v>18</v>
      </c>
    </row>
    <row r="372" spans="1:7" x14ac:dyDescent="0.25">
      <c r="A372" t="s">
        <v>894</v>
      </c>
      <c r="B372" t="s">
        <v>394</v>
      </c>
      <c r="C372">
        <v>59</v>
      </c>
      <c r="D372" t="s">
        <v>28</v>
      </c>
      <c r="E372" t="s">
        <v>17</v>
      </c>
      <c r="F372">
        <v>816</v>
      </c>
      <c r="G372" t="s">
        <v>18</v>
      </c>
    </row>
    <row r="373" spans="1:7" x14ac:dyDescent="0.25">
      <c r="A373" t="s">
        <v>895</v>
      </c>
      <c r="B373" t="s">
        <v>395</v>
      </c>
      <c r="C373">
        <v>51</v>
      </c>
      <c r="D373" t="s">
        <v>16</v>
      </c>
      <c r="E373" t="s">
        <v>23</v>
      </c>
      <c r="F373">
        <v>661</v>
      </c>
      <c r="G373" t="s">
        <v>26</v>
      </c>
    </row>
    <row r="374" spans="1:7" x14ac:dyDescent="0.25">
      <c r="A374" t="s">
        <v>896</v>
      </c>
      <c r="B374" t="s">
        <v>396</v>
      </c>
      <c r="C374">
        <v>45</v>
      </c>
      <c r="D374" t="s">
        <v>28</v>
      </c>
      <c r="E374" t="s">
        <v>23</v>
      </c>
      <c r="F374">
        <v>765</v>
      </c>
      <c r="G374" t="s">
        <v>18</v>
      </c>
    </row>
    <row r="375" spans="1:7" x14ac:dyDescent="0.25">
      <c r="A375" t="s">
        <v>897</v>
      </c>
      <c r="B375" t="s">
        <v>397</v>
      </c>
      <c r="C375">
        <v>32</v>
      </c>
      <c r="D375" t="s">
        <v>16</v>
      </c>
      <c r="E375" t="s">
        <v>17</v>
      </c>
      <c r="F375">
        <v>618</v>
      </c>
      <c r="G375" t="s">
        <v>21</v>
      </c>
    </row>
    <row r="376" spans="1:7" x14ac:dyDescent="0.25">
      <c r="A376" t="s">
        <v>898</v>
      </c>
      <c r="B376" t="s">
        <v>398</v>
      </c>
      <c r="C376">
        <v>25</v>
      </c>
      <c r="D376" t="s">
        <v>28</v>
      </c>
      <c r="E376" t="s">
        <v>17</v>
      </c>
      <c r="F376">
        <v>774</v>
      </c>
      <c r="G376" t="s">
        <v>18</v>
      </c>
    </row>
    <row r="377" spans="1:7" x14ac:dyDescent="0.25">
      <c r="A377" t="s">
        <v>899</v>
      </c>
      <c r="B377" t="s">
        <v>399</v>
      </c>
      <c r="C377">
        <v>21</v>
      </c>
      <c r="D377" t="s">
        <v>28</v>
      </c>
      <c r="E377" t="s">
        <v>23</v>
      </c>
      <c r="F377">
        <v>609</v>
      </c>
      <c r="G377" t="s">
        <v>21</v>
      </c>
    </row>
    <row r="378" spans="1:7" x14ac:dyDescent="0.25">
      <c r="A378" t="s">
        <v>900</v>
      </c>
      <c r="B378" t="s">
        <v>400</v>
      </c>
      <c r="C378">
        <v>28</v>
      </c>
      <c r="D378" t="s">
        <v>16</v>
      </c>
      <c r="E378" t="s">
        <v>17</v>
      </c>
      <c r="F378">
        <v>708</v>
      </c>
      <c r="G378" t="s">
        <v>32</v>
      </c>
    </row>
    <row r="379" spans="1:7" x14ac:dyDescent="0.25">
      <c r="A379" t="s">
        <v>901</v>
      </c>
      <c r="B379" t="s">
        <v>401</v>
      </c>
      <c r="C379">
        <v>30</v>
      </c>
      <c r="D379" t="s">
        <v>16</v>
      </c>
      <c r="E379" t="s">
        <v>20</v>
      </c>
      <c r="F379">
        <v>686</v>
      </c>
      <c r="G379" t="s">
        <v>26</v>
      </c>
    </row>
    <row r="380" spans="1:7" x14ac:dyDescent="0.25">
      <c r="A380" t="s">
        <v>902</v>
      </c>
      <c r="B380" t="s">
        <v>402</v>
      </c>
      <c r="C380">
        <v>40</v>
      </c>
      <c r="D380" t="s">
        <v>16</v>
      </c>
      <c r="E380" t="s">
        <v>20</v>
      </c>
      <c r="F380">
        <v>777</v>
      </c>
      <c r="G380" t="s">
        <v>18</v>
      </c>
    </row>
    <row r="381" spans="1:7" x14ac:dyDescent="0.25">
      <c r="A381" t="s">
        <v>903</v>
      </c>
      <c r="B381" t="s">
        <v>403</v>
      </c>
      <c r="C381">
        <v>30</v>
      </c>
      <c r="D381" t="s">
        <v>28</v>
      </c>
      <c r="E381" t="s">
        <v>20</v>
      </c>
      <c r="F381">
        <v>631</v>
      </c>
      <c r="G381" t="s">
        <v>21</v>
      </c>
    </row>
    <row r="382" spans="1:7" x14ac:dyDescent="0.25">
      <c r="A382" t="s">
        <v>904</v>
      </c>
      <c r="B382" t="s">
        <v>404</v>
      </c>
      <c r="C382">
        <v>51</v>
      </c>
      <c r="D382" t="s">
        <v>28</v>
      </c>
      <c r="E382" t="s">
        <v>17</v>
      </c>
      <c r="F382">
        <v>595</v>
      </c>
      <c r="G382" t="s">
        <v>21</v>
      </c>
    </row>
    <row r="383" spans="1:7" x14ac:dyDescent="0.25">
      <c r="A383" t="s">
        <v>905</v>
      </c>
      <c r="B383" t="s">
        <v>405</v>
      </c>
      <c r="C383">
        <v>28</v>
      </c>
      <c r="D383" t="s">
        <v>16</v>
      </c>
      <c r="E383" t="s">
        <v>20</v>
      </c>
      <c r="F383">
        <v>688</v>
      </c>
      <c r="G383" t="s">
        <v>26</v>
      </c>
    </row>
    <row r="384" spans="1:7" x14ac:dyDescent="0.25">
      <c r="A384" t="s">
        <v>906</v>
      </c>
      <c r="B384" t="s">
        <v>406</v>
      </c>
      <c r="C384">
        <v>60</v>
      </c>
      <c r="D384" t="s">
        <v>28</v>
      </c>
      <c r="E384" t="s">
        <v>20</v>
      </c>
      <c r="F384">
        <v>713</v>
      </c>
      <c r="G384" t="s">
        <v>32</v>
      </c>
    </row>
    <row r="385" spans="1:7" x14ac:dyDescent="0.25">
      <c r="A385" t="s">
        <v>907</v>
      </c>
      <c r="B385" t="s">
        <v>407</v>
      </c>
      <c r="C385">
        <v>43</v>
      </c>
      <c r="D385" t="s">
        <v>16</v>
      </c>
      <c r="E385" t="s">
        <v>23</v>
      </c>
      <c r="F385">
        <v>773</v>
      </c>
      <c r="G385" t="s">
        <v>18</v>
      </c>
    </row>
    <row r="386" spans="1:7" x14ac:dyDescent="0.25">
      <c r="A386" t="s">
        <v>908</v>
      </c>
      <c r="B386" t="s">
        <v>408</v>
      </c>
      <c r="C386">
        <v>53</v>
      </c>
      <c r="D386" t="s">
        <v>28</v>
      </c>
      <c r="E386" t="s">
        <v>17</v>
      </c>
      <c r="F386">
        <v>709</v>
      </c>
      <c r="G386" t="s">
        <v>32</v>
      </c>
    </row>
    <row r="387" spans="1:7" x14ac:dyDescent="0.25">
      <c r="A387" t="s">
        <v>909</v>
      </c>
      <c r="B387" t="s">
        <v>409</v>
      </c>
      <c r="C387">
        <v>36</v>
      </c>
      <c r="D387" t="s">
        <v>16</v>
      </c>
      <c r="E387" t="s">
        <v>23</v>
      </c>
      <c r="F387">
        <v>726</v>
      </c>
      <c r="G387" t="s">
        <v>32</v>
      </c>
    </row>
    <row r="388" spans="1:7" x14ac:dyDescent="0.25">
      <c r="A388" t="s">
        <v>910</v>
      </c>
      <c r="B388" t="s">
        <v>410</v>
      </c>
      <c r="C388">
        <v>34</v>
      </c>
      <c r="D388" t="s">
        <v>28</v>
      </c>
      <c r="E388" t="s">
        <v>17</v>
      </c>
      <c r="F388">
        <v>742</v>
      </c>
      <c r="G388" t="s">
        <v>32</v>
      </c>
    </row>
    <row r="389" spans="1:7" x14ac:dyDescent="0.25">
      <c r="A389" t="s">
        <v>911</v>
      </c>
      <c r="B389" t="s">
        <v>411</v>
      </c>
      <c r="C389">
        <v>21</v>
      </c>
      <c r="D389" t="s">
        <v>16</v>
      </c>
      <c r="E389" t="s">
        <v>20</v>
      </c>
      <c r="F389">
        <v>750</v>
      </c>
      <c r="G389" t="s">
        <v>18</v>
      </c>
    </row>
    <row r="390" spans="1:7" x14ac:dyDescent="0.25">
      <c r="A390" t="s">
        <v>912</v>
      </c>
      <c r="B390" t="s">
        <v>412</v>
      </c>
      <c r="C390">
        <v>48</v>
      </c>
      <c r="D390" t="s">
        <v>16</v>
      </c>
      <c r="E390" t="s">
        <v>17</v>
      </c>
      <c r="F390">
        <v>679</v>
      </c>
      <c r="G390" t="s">
        <v>26</v>
      </c>
    </row>
    <row r="391" spans="1:7" x14ac:dyDescent="0.25">
      <c r="A391" t="s">
        <v>913</v>
      </c>
      <c r="B391" t="s">
        <v>413</v>
      </c>
      <c r="C391">
        <v>55</v>
      </c>
      <c r="D391" t="s">
        <v>28</v>
      </c>
      <c r="E391" t="s">
        <v>23</v>
      </c>
      <c r="F391">
        <v>714</v>
      </c>
      <c r="G391" t="s">
        <v>32</v>
      </c>
    </row>
    <row r="392" spans="1:7" x14ac:dyDescent="0.25">
      <c r="A392" t="s">
        <v>914</v>
      </c>
      <c r="B392" t="s">
        <v>414</v>
      </c>
      <c r="C392">
        <v>48</v>
      </c>
      <c r="D392" t="s">
        <v>28</v>
      </c>
      <c r="E392" t="s">
        <v>20</v>
      </c>
      <c r="F392">
        <v>589</v>
      </c>
      <c r="G392" t="s">
        <v>21</v>
      </c>
    </row>
    <row r="393" spans="1:7" x14ac:dyDescent="0.25">
      <c r="A393" t="s">
        <v>915</v>
      </c>
      <c r="B393" t="s">
        <v>415</v>
      </c>
      <c r="C393">
        <v>53</v>
      </c>
      <c r="D393" t="s">
        <v>16</v>
      </c>
      <c r="E393" t="s">
        <v>17</v>
      </c>
      <c r="F393">
        <v>592</v>
      </c>
      <c r="G393" t="s">
        <v>21</v>
      </c>
    </row>
    <row r="394" spans="1:7" x14ac:dyDescent="0.25">
      <c r="A394" t="s">
        <v>916</v>
      </c>
      <c r="B394" t="s">
        <v>416</v>
      </c>
      <c r="C394">
        <v>35</v>
      </c>
      <c r="D394" t="s">
        <v>28</v>
      </c>
      <c r="E394" t="s">
        <v>23</v>
      </c>
      <c r="F394">
        <v>830</v>
      </c>
      <c r="G394" t="s">
        <v>18</v>
      </c>
    </row>
    <row r="395" spans="1:7" x14ac:dyDescent="0.25">
      <c r="A395" t="s">
        <v>917</v>
      </c>
      <c r="B395" t="s">
        <v>417</v>
      </c>
      <c r="C395">
        <v>21</v>
      </c>
      <c r="D395" t="s">
        <v>16</v>
      </c>
      <c r="E395" t="s">
        <v>20</v>
      </c>
      <c r="F395">
        <v>748</v>
      </c>
      <c r="G395" t="s">
        <v>32</v>
      </c>
    </row>
    <row r="396" spans="1:7" x14ac:dyDescent="0.25">
      <c r="A396" t="s">
        <v>918</v>
      </c>
      <c r="B396" t="s">
        <v>418</v>
      </c>
      <c r="C396">
        <v>27</v>
      </c>
      <c r="D396" t="s">
        <v>28</v>
      </c>
      <c r="E396" t="s">
        <v>20</v>
      </c>
      <c r="F396">
        <v>589</v>
      </c>
      <c r="G396" t="s">
        <v>21</v>
      </c>
    </row>
    <row r="397" spans="1:7" x14ac:dyDescent="0.25">
      <c r="A397" t="s">
        <v>919</v>
      </c>
      <c r="B397" t="s">
        <v>419</v>
      </c>
      <c r="C397">
        <v>52</v>
      </c>
      <c r="D397" t="s">
        <v>28</v>
      </c>
      <c r="E397" t="s">
        <v>20</v>
      </c>
      <c r="F397">
        <v>641</v>
      </c>
      <c r="G397" t="s">
        <v>21</v>
      </c>
    </row>
    <row r="398" spans="1:7" x14ac:dyDescent="0.25">
      <c r="A398" t="s">
        <v>920</v>
      </c>
      <c r="B398" t="s">
        <v>420</v>
      </c>
      <c r="C398">
        <v>41</v>
      </c>
      <c r="D398" t="s">
        <v>28</v>
      </c>
      <c r="E398" t="s">
        <v>17</v>
      </c>
      <c r="F398">
        <v>656</v>
      </c>
      <c r="G398" t="s">
        <v>26</v>
      </c>
    </row>
    <row r="399" spans="1:7" x14ac:dyDescent="0.25">
      <c r="A399" t="s">
        <v>921</v>
      </c>
      <c r="B399" t="s">
        <v>421</v>
      </c>
      <c r="C399">
        <v>59</v>
      </c>
      <c r="D399" t="s">
        <v>28</v>
      </c>
      <c r="E399" t="s">
        <v>17</v>
      </c>
      <c r="F399">
        <v>600</v>
      </c>
      <c r="G399" t="s">
        <v>21</v>
      </c>
    </row>
    <row r="400" spans="1:7" x14ac:dyDescent="0.25">
      <c r="A400" t="s">
        <v>922</v>
      </c>
      <c r="B400" t="s">
        <v>422</v>
      </c>
      <c r="C400">
        <v>45</v>
      </c>
      <c r="D400" t="s">
        <v>16</v>
      </c>
      <c r="E400" t="s">
        <v>23</v>
      </c>
      <c r="F400">
        <v>723</v>
      </c>
      <c r="G400" t="s">
        <v>32</v>
      </c>
    </row>
    <row r="401" spans="1:7" x14ac:dyDescent="0.25">
      <c r="A401" t="s">
        <v>923</v>
      </c>
      <c r="B401" t="s">
        <v>423</v>
      </c>
      <c r="C401">
        <v>33</v>
      </c>
      <c r="D401" t="s">
        <v>28</v>
      </c>
      <c r="E401" t="s">
        <v>23</v>
      </c>
      <c r="F401">
        <v>658</v>
      </c>
      <c r="G401" t="s">
        <v>26</v>
      </c>
    </row>
    <row r="402" spans="1:7" x14ac:dyDescent="0.25">
      <c r="A402" t="s">
        <v>924</v>
      </c>
      <c r="B402" t="s">
        <v>424</v>
      </c>
      <c r="C402">
        <v>55</v>
      </c>
      <c r="D402" t="s">
        <v>28</v>
      </c>
      <c r="E402" t="s">
        <v>20</v>
      </c>
      <c r="F402">
        <v>705</v>
      </c>
      <c r="G402" t="s">
        <v>32</v>
      </c>
    </row>
    <row r="403" spans="1:7" x14ac:dyDescent="0.25">
      <c r="A403" t="s">
        <v>925</v>
      </c>
      <c r="B403" t="s">
        <v>425</v>
      </c>
      <c r="C403">
        <v>46</v>
      </c>
      <c r="D403" t="s">
        <v>28</v>
      </c>
      <c r="E403" t="s">
        <v>17</v>
      </c>
      <c r="F403">
        <v>707</v>
      </c>
      <c r="G403" t="s">
        <v>32</v>
      </c>
    </row>
    <row r="404" spans="1:7" x14ac:dyDescent="0.25">
      <c r="A404" t="s">
        <v>926</v>
      </c>
      <c r="B404" t="s">
        <v>426</v>
      </c>
      <c r="C404">
        <v>62</v>
      </c>
      <c r="D404" t="s">
        <v>16</v>
      </c>
      <c r="E404" t="s">
        <v>20</v>
      </c>
      <c r="F404">
        <v>557</v>
      </c>
      <c r="G404" t="s">
        <v>21</v>
      </c>
    </row>
    <row r="405" spans="1:7" x14ac:dyDescent="0.25">
      <c r="A405" t="s">
        <v>927</v>
      </c>
      <c r="B405" t="s">
        <v>427</v>
      </c>
      <c r="C405">
        <v>44</v>
      </c>
      <c r="D405" t="s">
        <v>28</v>
      </c>
      <c r="E405" t="s">
        <v>17</v>
      </c>
      <c r="F405">
        <v>733</v>
      </c>
      <c r="G405" t="s">
        <v>32</v>
      </c>
    </row>
    <row r="406" spans="1:7" x14ac:dyDescent="0.25">
      <c r="A406" t="s">
        <v>928</v>
      </c>
      <c r="B406" t="s">
        <v>428</v>
      </c>
      <c r="C406">
        <v>50</v>
      </c>
      <c r="D406" t="s">
        <v>16</v>
      </c>
      <c r="E406" t="s">
        <v>23</v>
      </c>
      <c r="F406">
        <v>604</v>
      </c>
      <c r="G406" t="s">
        <v>21</v>
      </c>
    </row>
    <row r="407" spans="1:7" x14ac:dyDescent="0.25">
      <c r="A407" t="s">
        <v>929</v>
      </c>
      <c r="B407" t="s">
        <v>429</v>
      </c>
      <c r="C407">
        <v>54</v>
      </c>
      <c r="D407" t="s">
        <v>28</v>
      </c>
      <c r="E407" t="s">
        <v>23</v>
      </c>
      <c r="F407">
        <v>814</v>
      </c>
      <c r="G407" t="s">
        <v>18</v>
      </c>
    </row>
    <row r="408" spans="1:7" x14ac:dyDescent="0.25">
      <c r="A408" t="s">
        <v>930</v>
      </c>
      <c r="B408" t="s">
        <v>430</v>
      </c>
      <c r="C408">
        <v>39</v>
      </c>
      <c r="D408" t="s">
        <v>28</v>
      </c>
      <c r="E408" t="s">
        <v>23</v>
      </c>
      <c r="F408">
        <v>579</v>
      </c>
      <c r="G408" t="s">
        <v>21</v>
      </c>
    </row>
    <row r="409" spans="1:7" x14ac:dyDescent="0.25">
      <c r="A409" t="s">
        <v>931</v>
      </c>
      <c r="B409" t="s">
        <v>431</v>
      </c>
      <c r="C409">
        <v>27</v>
      </c>
      <c r="D409" t="s">
        <v>16</v>
      </c>
      <c r="E409" t="s">
        <v>17</v>
      </c>
      <c r="F409">
        <v>773</v>
      </c>
      <c r="G409" t="s">
        <v>18</v>
      </c>
    </row>
    <row r="410" spans="1:7" x14ac:dyDescent="0.25">
      <c r="A410" t="s">
        <v>932</v>
      </c>
      <c r="B410" t="s">
        <v>432</v>
      </c>
      <c r="C410">
        <v>39</v>
      </c>
      <c r="D410" t="s">
        <v>16</v>
      </c>
      <c r="E410" t="s">
        <v>20</v>
      </c>
      <c r="F410">
        <v>819</v>
      </c>
      <c r="G410" t="s">
        <v>18</v>
      </c>
    </row>
    <row r="411" spans="1:7" x14ac:dyDescent="0.25">
      <c r="A411" t="s">
        <v>933</v>
      </c>
      <c r="B411" t="s">
        <v>433</v>
      </c>
      <c r="C411">
        <v>53</v>
      </c>
      <c r="D411" t="s">
        <v>16</v>
      </c>
      <c r="E411" t="s">
        <v>20</v>
      </c>
      <c r="F411">
        <v>557</v>
      </c>
      <c r="G411" t="s">
        <v>21</v>
      </c>
    </row>
    <row r="412" spans="1:7" x14ac:dyDescent="0.25">
      <c r="A412" t="s">
        <v>934</v>
      </c>
      <c r="B412" t="s">
        <v>434</v>
      </c>
      <c r="C412">
        <v>36</v>
      </c>
      <c r="D412" t="s">
        <v>16</v>
      </c>
      <c r="E412" t="s">
        <v>20</v>
      </c>
      <c r="F412">
        <v>636</v>
      </c>
      <c r="G412" t="s">
        <v>21</v>
      </c>
    </row>
    <row r="413" spans="1:7" x14ac:dyDescent="0.25">
      <c r="A413" t="s">
        <v>935</v>
      </c>
      <c r="B413" t="s">
        <v>435</v>
      </c>
      <c r="C413">
        <v>36</v>
      </c>
      <c r="D413" t="s">
        <v>16</v>
      </c>
      <c r="E413" t="s">
        <v>23</v>
      </c>
      <c r="F413">
        <v>621</v>
      </c>
      <c r="G413" t="s">
        <v>21</v>
      </c>
    </row>
    <row r="414" spans="1:7" x14ac:dyDescent="0.25">
      <c r="A414" t="s">
        <v>936</v>
      </c>
      <c r="B414" t="s">
        <v>436</v>
      </c>
      <c r="C414">
        <v>64</v>
      </c>
      <c r="D414" t="s">
        <v>16</v>
      </c>
      <c r="E414" t="s">
        <v>23</v>
      </c>
      <c r="F414">
        <v>609</v>
      </c>
      <c r="G414" t="s">
        <v>21</v>
      </c>
    </row>
    <row r="415" spans="1:7" x14ac:dyDescent="0.25">
      <c r="A415" t="s">
        <v>937</v>
      </c>
      <c r="B415" t="s">
        <v>437</v>
      </c>
      <c r="C415">
        <v>50</v>
      </c>
      <c r="D415" t="s">
        <v>16</v>
      </c>
      <c r="E415" t="s">
        <v>23</v>
      </c>
      <c r="F415">
        <v>700</v>
      </c>
      <c r="G415" t="s">
        <v>32</v>
      </c>
    </row>
    <row r="416" spans="1:7" x14ac:dyDescent="0.25">
      <c r="A416" t="s">
        <v>938</v>
      </c>
      <c r="B416" t="s">
        <v>438</v>
      </c>
      <c r="C416">
        <v>25</v>
      </c>
      <c r="D416" t="s">
        <v>28</v>
      </c>
      <c r="E416" t="s">
        <v>23</v>
      </c>
      <c r="F416">
        <v>770</v>
      </c>
      <c r="G416" t="s">
        <v>18</v>
      </c>
    </row>
    <row r="417" spans="1:7" x14ac:dyDescent="0.25">
      <c r="A417" t="s">
        <v>939</v>
      </c>
      <c r="B417" t="s">
        <v>439</v>
      </c>
      <c r="C417">
        <v>32</v>
      </c>
      <c r="D417" t="s">
        <v>28</v>
      </c>
      <c r="E417" t="s">
        <v>20</v>
      </c>
      <c r="F417">
        <v>689</v>
      </c>
      <c r="G417" t="s">
        <v>26</v>
      </c>
    </row>
    <row r="418" spans="1:7" x14ac:dyDescent="0.25">
      <c r="A418" t="s">
        <v>940</v>
      </c>
      <c r="B418" t="s">
        <v>440</v>
      </c>
      <c r="C418">
        <v>45</v>
      </c>
      <c r="D418" t="s">
        <v>28</v>
      </c>
      <c r="E418" t="s">
        <v>20</v>
      </c>
      <c r="F418">
        <v>737</v>
      </c>
      <c r="G418" t="s">
        <v>32</v>
      </c>
    </row>
    <row r="419" spans="1:7" x14ac:dyDescent="0.25">
      <c r="A419" t="s">
        <v>941</v>
      </c>
      <c r="B419" t="s">
        <v>441</v>
      </c>
      <c r="C419">
        <v>42</v>
      </c>
      <c r="D419" t="s">
        <v>28</v>
      </c>
      <c r="E419" t="s">
        <v>23</v>
      </c>
      <c r="F419">
        <v>579</v>
      </c>
      <c r="G419" t="s">
        <v>21</v>
      </c>
    </row>
    <row r="420" spans="1:7" x14ac:dyDescent="0.25">
      <c r="A420" t="s">
        <v>942</v>
      </c>
      <c r="B420" t="s">
        <v>442</v>
      </c>
      <c r="C420">
        <v>63</v>
      </c>
      <c r="D420" t="s">
        <v>16</v>
      </c>
      <c r="E420" t="s">
        <v>20</v>
      </c>
      <c r="F420">
        <v>708</v>
      </c>
      <c r="G420" t="s">
        <v>32</v>
      </c>
    </row>
    <row r="421" spans="1:7" x14ac:dyDescent="0.25">
      <c r="A421" t="s">
        <v>943</v>
      </c>
      <c r="B421" t="s">
        <v>443</v>
      </c>
      <c r="C421">
        <v>41</v>
      </c>
      <c r="D421" t="s">
        <v>16</v>
      </c>
      <c r="E421" t="s">
        <v>23</v>
      </c>
      <c r="F421">
        <v>645</v>
      </c>
      <c r="G421" t="s">
        <v>21</v>
      </c>
    </row>
    <row r="422" spans="1:7" x14ac:dyDescent="0.25">
      <c r="A422" t="s">
        <v>944</v>
      </c>
      <c r="B422" t="s">
        <v>444</v>
      </c>
      <c r="C422">
        <v>49</v>
      </c>
      <c r="D422" t="s">
        <v>16</v>
      </c>
      <c r="E422" t="s">
        <v>20</v>
      </c>
      <c r="F422">
        <v>800</v>
      </c>
      <c r="G422" t="s">
        <v>18</v>
      </c>
    </row>
    <row r="423" spans="1:7" x14ac:dyDescent="0.25">
      <c r="A423" t="s">
        <v>945</v>
      </c>
      <c r="B423" t="s">
        <v>445</v>
      </c>
      <c r="C423">
        <v>64</v>
      </c>
      <c r="D423" t="s">
        <v>28</v>
      </c>
      <c r="E423" t="s">
        <v>20</v>
      </c>
      <c r="F423">
        <v>566</v>
      </c>
      <c r="G423" t="s">
        <v>21</v>
      </c>
    </row>
    <row r="424" spans="1:7" x14ac:dyDescent="0.25">
      <c r="A424" t="s">
        <v>946</v>
      </c>
      <c r="B424" t="s">
        <v>446</v>
      </c>
      <c r="C424">
        <v>47</v>
      </c>
      <c r="D424" t="s">
        <v>28</v>
      </c>
      <c r="E424" t="s">
        <v>23</v>
      </c>
      <c r="F424">
        <v>639</v>
      </c>
      <c r="G424" t="s">
        <v>21</v>
      </c>
    </row>
    <row r="425" spans="1:7" x14ac:dyDescent="0.25">
      <c r="A425" t="s">
        <v>947</v>
      </c>
      <c r="B425" t="s">
        <v>447</v>
      </c>
      <c r="C425">
        <v>27</v>
      </c>
      <c r="D425" t="s">
        <v>28</v>
      </c>
      <c r="E425" t="s">
        <v>17</v>
      </c>
      <c r="F425">
        <v>779</v>
      </c>
      <c r="G425" t="s">
        <v>18</v>
      </c>
    </row>
    <row r="426" spans="1:7" x14ac:dyDescent="0.25">
      <c r="A426" t="s">
        <v>948</v>
      </c>
      <c r="B426" t="s">
        <v>448</v>
      </c>
      <c r="C426">
        <v>24</v>
      </c>
      <c r="D426" t="s">
        <v>28</v>
      </c>
      <c r="E426" t="s">
        <v>17</v>
      </c>
      <c r="F426">
        <v>584</v>
      </c>
      <c r="G426" t="s">
        <v>21</v>
      </c>
    </row>
    <row r="427" spans="1:7" x14ac:dyDescent="0.25">
      <c r="A427" t="s">
        <v>949</v>
      </c>
      <c r="B427" t="s">
        <v>449</v>
      </c>
      <c r="C427">
        <v>64</v>
      </c>
      <c r="D427" t="s">
        <v>16</v>
      </c>
      <c r="E427" t="s">
        <v>17</v>
      </c>
      <c r="F427">
        <v>650</v>
      </c>
      <c r="G427" t="s">
        <v>26</v>
      </c>
    </row>
    <row r="428" spans="1:7" x14ac:dyDescent="0.25">
      <c r="A428" t="s">
        <v>950</v>
      </c>
      <c r="B428" t="s">
        <v>450</v>
      </c>
      <c r="C428">
        <v>36</v>
      </c>
      <c r="D428" t="s">
        <v>28</v>
      </c>
      <c r="E428" t="s">
        <v>20</v>
      </c>
      <c r="F428">
        <v>604</v>
      </c>
      <c r="G428" t="s">
        <v>21</v>
      </c>
    </row>
    <row r="429" spans="1:7" x14ac:dyDescent="0.25">
      <c r="A429" t="s">
        <v>951</v>
      </c>
      <c r="B429" t="s">
        <v>451</v>
      </c>
      <c r="C429">
        <v>35</v>
      </c>
      <c r="D429" t="s">
        <v>28</v>
      </c>
      <c r="E429" t="s">
        <v>23</v>
      </c>
      <c r="F429">
        <v>706</v>
      </c>
      <c r="G429" t="s">
        <v>32</v>
      </c>
    </row>
    <row r="430" spans="1:7" x14ac:dyDescent="0.25">
      <c r="A430" t="s">
        <v>952</v>
      </c>
      <c r="B430" t="s">
        <v>452</v>
      </c>
      <c r="C430">
        <v>45</v>
      </c>
      <c r="D430" t="s">
        <v>28</v>
      </c>
      <c r="E430" t="s">
        <v>20</v>
      </c>
      <c r="F430">
        <v>847</v>
      </c>
      <c r="G430" t="s">
        <v>18</v>
      </c>
    </row>
    <row r="431" spans="1:7" x14ac:dyDescent="0.25">
      <c r="A431" t="s">
        <v>953</v>
      </c>
      <c r="B431" t="s">
        <v>453</v>
      </c>
      <c r="C431">
        <v>28</v>
      </c>
      <c r="D431" t="s">
        <v>28</v>
      </c>
      <c r="E431" t="s">
        <v>23</v>
      </c>
      <c r="F431">
        <v>559</v>
      </c>
      <c r="G431" t="s">
        <v>21</v>
      </c>
    </row>
    <row r="432" spans="1:7" x14ac:dyDescent="0.25">
      <c r="A432" t="s">
        <v>954</v>
      </c>
      <c r="B432" t="s">
        <v>454</v>
      </c>
      <c r="C432">
        <v>32</v>
      </c>
      <c r="D432" t="s">
        <v>16</v>
      </c>
      <c r="E432" t="s">
        <v>20</v>
      </c>
      <c r="F432">
        <v>655</v>
      </c>
      <c r="G432" t="s">
        <v>26</v>
      </c>
    </row>
    <row r="433" spans="1:7" x14ac:dyDescent="0.25">
      <c r="A433" t="s">
        <v>955</v>
      </c>
      <c r="B433" t="s">
        <v>455</v>
      </c>
      <c r="C433">
        <v>55</v>
      </c>
      <c r="D433" t="s">
        <v>28</v>
      </c>
      <c r="E433" t="s">
        <v>17</v>
      </c>
      <c r="F433">
        <v>681</v>
      </c>
      <c r="G433" t="s">
        <v>26</v>
      </c>
    </row>
    <row r="434" spans="1:7" x14ac:dyDescent="0.25">
      <c r="A434" t="s">
        <v>956</v>
      </c>
      <c r="B434" t="s">
        <v>456</v>
      </c>
      <c r="C434">
        <v>46</v>
      </c>
      <c r="D434" t="s">
        <v>16</v>
      </c>
      <c r="E434" t="s">
        <v>23</v>
      </c>
      <c r="F434">
        <v>556</v>
      </c>
      <c r="G434" t="s">
        <v>21</v>
      </c>
    </row>
    <row r="435" spans="1:7" x14ac:dyDescent="0.25">
      <c r="A435" t="s">
        <v>957</v>
      </c>
      <c r="B435" t="s">
        <v>457</v>
      </c>
      <c r="C435">
        <v>62</v>
      </c>
      <c r="D435" t="s">
        <v>16</v>
      </c>
      <c r="E435" t="s">
        <v>20</v>
      </c>
      <c r="F435">
        <v>637</v>
      </c>
      <c r="G435" t="s">
        <v>21</v>
      </c>
    </row>
    <row r="436" spans="1:7" x14ac:dyDescent="0.25">
      <c r="A436" t="s">
        <v>958</v>
      </c>
      <c r="B436" t="s">
        <v>458</v>
      </c>
      <c r="C436">
        <v>60</v>
      </c>
      <c r="D436" t="s">
        <v>16</v>
      </c>
      <c r="E436" t="s">
        <v>17</v>
      </c>
      <c r="F436">
        <v>826</v>
      </c>
      <c r="G436" t="s">
        <v>18</v>
      </c>
    </row>
    <row r="437" spans="1:7" x14ac:dyDescent="0.25">
      <c r="A437" t="s">
        <v>959</v>
      </c>
      <c r="B437" t="s">
        <v>459</v>
      </c>
      <c r="C437">
        <v>63</v>
      </c>
      <c r="D437" t="s">
        <v>16</v>
      </c>
      <c r="E437" t="s">
        <v>17</v>
      </c>
      <c r="F437">
        <v>617</v>
      </c>
      <c r="G437" t="s">
        <v>21</v>
      </c>
    </row>
    <row r="438" spans="1:7" x14ac:dyDescent="0.25">
      <c r="A438" t="s">
        <v>960</v>
      </c>
      <c r="B438" t="s">
        <v>460</v>
      </c>
      <c r="C438">
        <v>24</v>
      </c>
      <c r="D438" t="s">
        <v>16</v>
      </c>
      <c r="E438" t="s">
        <v>17</v>
      </c>
      <c r="F438">
        <v>551</v>
      </c>
      <c r="G438" t="s">
        <v>21</v>
      </c>
    </row>
    <row r="439" spans="1:7" x14ac:dyDescent="0.25">
      <c r="A439" t="s">
        <v>961</v>
      </c>
      <c r="B439" t="s">
        <v>461</v>
      </c>
      <c r="C439">
        <v>38</v>
      </c>
      <c r="D439" t="s">
        <v>28</v>
      </c>
      <c r="E439" t="s">
        <v>17</v>
      </c>
      <c r="F439">
        <v>619</v>
      </c>
      <c r="G439" t="s">
        <v>21</v>
      </c>
    </row>
    <row r="440" spans="1:7" x14ac:dyDescent="0.25">
      <c r="A440" t="s">
        <v>962</v>
      </c>
      <c r="B440" t="s">
        <v>462</v>
      </c>
      <c r="C440">
        <v>40</v>
      </c>
      <c r="D440" t="s">
        <v>28</v>
      </c>
      <c r="E440" t="s">
        <v>20</v>
      </c>
      <c r="F440">
        <v>572</v>
      </c>
      <c r="G440" t="s">
        <v>21</v>
      </c>
    </row>
    <row r="441" spans="1:7" x14ac:dyDescent="0.25">
      <c r="A441" t="s">
        <v>963</v>
      </c>
      <c r="B441" t="s">
        <v>463</v>
      </c>
      <c r="C441">
        <v>24</v>
      </c>
      <c r="D441" t="s">
        <v>16</v>
      </c>
      <c r="E441" t="s">
        <v>17</v>
      </c>
      <c r="F441">
        <v>743</v>
      </c>
      <c r="G441" t="s">
        <v>32</v>
      </c>
    </row>
    <row r="442" spans="1:7" x14ac:dyDescent="0.25">
      <c r="A442" t="s">
        <v>964</v>
      </c>
      <c r="B442" t="s">
        <v>464</v>
      </c>
      <c r="C442">
        <v>60</v>
      </c>
      <c r="D442" t="s">
        <v>16</v>
      </c>
      <c r="E442" t="s">
        <v>23</v>
      </c>
      <c r="F442">
        <v>748</v>
      </c>
      <c r="G442" t="s">
        <v>32</v>
      </c>
    </row>
    <row r="443" spans="1:7" x14ac:dyDescent="0.25">
      <c r="A443" t="s">
        <v>965</v>
      </c>
      <c r="B443" t="s">
        <v>465</v>
      </c>
      <c r="C443">
        <v>58</v>
      </c>
      <c r="D443" t="s">
        <v>16</v>
      </c>
      <c r="E443" t="s">
        <v>20</v>
      </c>
      <c r="F443">
        <v>677</v>
      </c>
      <c r="G443" t="s">
        <v>26</v>
      </c>
    </row>
    <row r="444" spans="1:7" x14ac:dyDescent="0.25">
      <c r="A444" t="s">
        <v>966</v>
      </c>
      <c r="B444" t="s">
        <v>466</v>
      </c>
      <c r="C444">
        <v>48</v>
      </c>
      <c r="D444" t="s">
        <v>28</v>
      </c>
      <c r="E444" t="s">
        <v>20</v>
      </c>
      <c r="F444">
        <v>703</v>
      </c>
      <c r="G444" t="s">
        <v>32</v>
      </c>
    </row>
    <row r="445" spans="1:7" x14ac:dyDescent="0.25">
      <c r="A445" t="s">
        <v>967</v>
      </c>
      <c r="B445" t="s">
        <v>467</v>
      </c>
      <c r="C445">
        <v>21</v>
      </c>
      <c r="D445" t="s">
        <v>28</v>
      </c>
      <c r="E445" t="s">
        <v>17</v>
      </c>
      <c r="F445">
        <v>848</v>
      </c>
      <c r="G445" t="s">
        <v>18</v>
      </c>
    </row>
    <row r="446" spans="1:7" x14ac:dyDescent="0.25">
      <c r="A446" t="s">
        <v>968</v>
      </c>
      <c r="B446" t="s">
        <v>468</v>
      </c>
      <c r="C446">
        <v>27</v>
      </c>
      <c r="D446" t="s">
        <v>28</v>
      </c>
      <c r="E446" t="s">
        <v>20</v>
      </c>
      <c r="F446">
        <v>606</v>
      </c>
      <c r="G446" t="s">
        <v>21</v>
      </c>
    </row>
    <row r="447" spans="1:7" x14ac:dyDescent="0.25">
      <c r="A447" t="s">
        <v>969</v>
      </c>
      <c r="B447" t="s">
        <v>469</v>
      </c>
      <c r="C447">
        <v>48</v>
      </c>
      <c r="D447" t="s">
        <v>16</v>
      </c>
      <c r="E447" t="s">
        <v>23</v>
      </c>
      <c r="F447">
        <v>583</v>
      </c>
      <c r="G447" t="s">
        <v>21</v>
      </c>
    </row>
    <row r="448" spans="1:7" x14ac:dyDescent="0.25">
      <c r="A448" t="s">
        <v>970</v>
      </c>
      <c r="B448" t="s">
        <v>470</v>
      </c>
      <c r="C448">
        <v>65</v>
      </c>
      <c r="D448" t="s">
        <v>28</v>
      </c>
      <c r="E448" t="s">
        <v>17</v>
      </c>
      <c r="F448">
        <v>585</v>
      </c>
      <c r="G448" t="s">
        <v>21</v>
      </c>
    </row>
    <row r="449" spans="1:7" x14ac:dyDescent="0.25">
      <c r="A449" t="s">
        <v>971</v>
      </c>
      <c r="B449" t="s">
        <v>471</v>
      </c>
      <c r="C449">
        <v>50</v>
      </c>
      <c r="D449" t="s">
        <v>16</v>
      </c>
      <c r="E449" t="s">
        <v>17</v>
      </c>
      <c r="F449">
        <v>818</v>
      </c>
      <c r="G449" t="s">
        <v>18</v>
      </c>
    </row>
    <row r="450" spans="1:7" x14ac:dyDescent="0.25">
      <c r="A450" t="s">
        <v>972</v>
      </c>
      <c r="B450" t="s">
        <v>472</v>
      </c>
      <c r="C450">
        <v>59</v>
      </c>
      <c r="D450" t="s">
        <v>28</v>
      </c>
      <c r="E450" t="s">
        <v>17</v>
      </c>
      <c r="F450">
        <v>818</v>
      </c>
      <c r="G450" t="s">
        <v>18</v>
      </c>
    </row>
    <row r="451" spans="1:7" x14ac:dyDescent="0.25">
      <c r="A451" t="s">
        <v>973</v>
      </c>
      <c r="B451" t="s">
        <v>473</v>
      </c>
      <c r="C451">
        <v>44</v>
      </c>
      <c r="D451" t="s">
        <v>16</v>
      </c>
      <c r="E451" t="s">
        <v>23</v>
      </c>
      <c r="F451">
        <v>773</v>
      </c>
      <c r="G451" t="s">
        <v>18</v>
      </c>
    </row>
    <row r="452" spans="1:7" x14ac:dyDescent="0.25">
      <c r="A452" t="s">
        <v>974</v>
      </c>
      <c r="B452" t="s">
        <v>474</v>
      </c>
      <c r="C452">
        <v>35</v>
      </c>
      <c r="D452" t="s">
        <v>28</v>
      </c>
      <c r="E452" t="s">
        <v>17</v>
      </c>
      <c r="F452">
        <v>629</v>
      </c>
      <c r="G452" t="s">
        <v>21</v>
      </c>
    </row>
    <row r="453" spans="1:7" x14ac:dyDescent="0.25">
      <c r="A453" t="s">
        <v>975</v>
      </c>
      <c r="B453" t="s">
        <v>475</v>
      </c>
      <c r="C453">
        <v>21</v>
      </c>
      <c r="D453" t="s">
        <v>28</v>
      </c>
      <c r="E453" t="s">
        <v>23</v>
      </c>
      <c r="F453">
        <v>555</v>
      </c>
      <c r="G453" t="s">
        <v>21</v>
      </c>
    </row>
    <row r="454" spans="1:7" x14ac:dyDescent="0.25">
      <c r="A454" t="s">
        <v>976</v>
      </c>
      <c r="B454" t="s">
        <v>476</v>
      </c>
      <c r="C454">
        <v>39</v>
      </c>
      <c r="D454" t="s">
        <v>16</v>
      </c>
      <c r="E454" t="s">
        <v>20</v>
      </c>
      <c r="F454">
        <v>762</v>
      </c>
      <c r="G454" t="s">
        <v>18</v>
      </c>
    </row>
    <row r="455" spans="1:7" x14ac:dyDescent="0.25">
      <c r="A455" t="s">
        <v>977</v>
      </c>
      <c r="B455" t="s">
        <v>477</v>
      </c>
      <c r="C455">
        <v>26</v>
      </c>
      <c r="D455" t="s">
        <v>16</v>
      </c>
      <c r="E455" t="s">
        <v>17</v>
      </c>
      <c r="F455">
        <v>850</v>
      </c>
      <c r="G455" t="s">
        <v>18</v>
      </c>
    </row>
    <row r="456" spans="1:7" x14ac:dyDescent="0.25">
      <c r="A456" t="s">
        <v>978</v>
      </c>
      <c r="B456" t="s">
        <v>478</v>
      </c>
      <c r="C456">
        <v>48</v>
      </c>
      <c r="D456" t="s">
        <v>28</v>
      </c>
      <c r="E456" t="s">
        <v>23</v>
      </c>
      <c r="F456">
        <v>781</v>
      </c>
      <c r="G456" t="s">
        <v>18</v>
      </c>
    </row>
    <row r="457" spans="1:7" x14ac:dyDescent="0.25">
      <c r="A457" t="s">
        <v>979</v>
      </c>
      <c r="B457" t="s">
        <v>479</v>
      </c>
      <c r="C457">
        <v>42</v>
      </c>
      <c r="D457" t="s">
        <v>28</v>
      </c>
      <c r="E457" t="s">
        <v>17</v>
      </c>
      <c r="F457">
        <v>831</v>
      </c>
      <c r="G457" t="s">
        <v>18</v>
      </c>
    </row>
    <row r="458" spans="1:7" x14ac:dyDescent="0.25">
      <c r="A458" t="s">
        <v>980</v>
      </c>
      <c r="B458" t="s">
        <v>480</v>
      </c>
      <c r="C458">
        <v>31</v>
      </c>
      <c r="D458" t="s">
        <v>16</v>
      </c>
      <c r="E458" t="s">
        <v>17</v>
      </c>
      <c r="F458">
        <v>684</v>
      </c>
      <c r="G458" t="s">
        <v>26</v>
      </c>
    </row>
    <row r="459" spans="1:7" x14ac:dyDescent="0.25">
      <c r="A459" t="s">
        <v>981</v>
      </c>
      <c r="B459" t="s">
        <v>481</v>
      </c>
      <c r="C459">
        <v>40</v>
      </c>
      <c r="D459" t="s">
        <v>28</v>
      </c>
      <c r="E459" t="s">
        <v>17</v>
      </c>
      <c r="F459">
        <v>613</v>
      </c>
      <c r="G459" t="s">
        <v>21</v>
      </c>
    </row>
    <row r="460" spans="1:7" x14ac:dyDescent="0.25">
      <c r="A460" t="s">
        <v>982</v>
      </c>
      <c r="B460" t="s">
        <v>482</v>
      </c>
      <c r="C460">
        <v>24</v>
      </c>
      <c r="D460" t="s">
        <v>16</v>
      </c>
      <c r="E460" t="s">
        <v>23</v>
      </c>
      <c r="F460">
        <v>762</v>
      </c>
      <c r="G460" t="s">
        <v>18</v>
      </c>
    </row>
    <row r="461" spans="1:7" x14ac:dyDescent="0.25">
      <c r="A461" t="s">
        <v>983</v>
      </c>
      <c r="B461" t="s">
        <v>483</v>
      </c>
      <c r="C461">
        <v>46</v>
      </c>
      <c r="D461" t="s">
        <v>28</v>
      </c>
      <c r="E461" t="s">
        <v>17</v>
      </c>
      <c r="F461">
        <v>813</v>
      </c>
      <c r="G461" t="s">
        <v>18</v>
      </c>
    </row>
    <row r="462" spans="1:7" x14ac:dyDescent="0.25">
      <c r="A462" t="s">
        <v>984</v>
      </c>
      <c r="B462" t="s">
        <v>484</v>
      </c>
      <c r="C462">
        <v>49</v>
      </c>
      <c r="D462" t="s">
        <v>28</v>
      </c>
      <c r="E462" t="s">
        <v>17</v>
      </c>
      <c r="F462">
        <v>713</v>
      </c>
      <c r="G462" t="s">
        <v>32</v>
      </c>
    </row>
    <row r="463" spans="1:7" x14ac:dyDescent="0.25">
      <c r="A463" t="s">
        <v>985</v>
      </c>
      <c r="B463" t="s">
        <v>485</v>
      </c>
      <c r="C463">
        <v>43</v>
      </c>
      <c r="D463" t="s">
        <v>16</v>
      </c>
      <c r="E463" t="s">
        <v>17</v>
      </c>
      <c r="F463">
        <v>609</v>
      </c>
      <c r="G463" t="s">
        <v>21</v>
      </c>
    </row>
    <row r="464" spans="1:7" x14ac:dyDescent="0.25">
      <c r="A464" t="s">
        <v>986</v>
      </c>
      <c r="B464" t="s">
        <v>486</v>
      </c>
      <c r="C464">
        <v>44</v>
      </c>
      <c r="D464" t="s">
        <v>16</v>
      </c>
      <c r="E464" t="s">
        <v>23</v>
      </c>
      <c r="F464">
        <v>750</v>
      </c>
      <c r="G464" t="s">
        <v>18</v>
      </c>
    </row>
    <row r="465" spans="1:7" x14ac:dyDescent="0.25">
      <c r="A465" t="s">
        <v>987</v>
      </c>
      <c r="B465" t="s">
        <v>487</v>
      </c>
      <c r="C465">
        <v>31</v>
      </c>
      <c r="D465" t="s">
        <v>16</v>
      </c>
      <c r="E465" t="s">
        <v>17</v>
      </c>
      <c r="F465">
        <v>713</v>
      </c>
      <c r="G465" t="s">
        <v>32</v>
      </c>
    </row>
    <row r="466" spans="1:7" x14ac:dyDescent="0.25">
      <c r="A466" t="s">
        <v>988</v>
      </c>
      <c r="B466" t="s">
        <v>488</v>
      </c>
      <c r="C466">
        <v>56</v>
      </c>
      <c r="D466" t="s">
        <v>28</v>
      </c>
      <c r="E466" t="s">
        <v>20</v>
      </c>
      <c r="F466">
        <v>570</v>
      </c>
      <c r="G466" t="s">
        <v>21</v>
      </c>
    </row>
    <row r="467" spans="1:7" x14ac:dyDescent="0.25">
      <c r="A467" t="s">
        <v>989</v>
      </c>
      <c r="B467" t="s">
        <v>489</v>
      </c>
      <c r="C467">
        <v>63</v>
      </c>
      <c r="D467" t="s">
        <v>16</v>
      </c>
      <c r="E467" t="s">
        <v>23</v>
      </c>
      <c r="F467">
        <v>687</v>
      </c>
      <c r="G467" t="s">
        <v>26</v>
      </c>
    </row>
    <row r="468" spans="1:7" x14ac:dyDescent="0.25">
      <c r="A468" t="s">
        <v>990</v>
      </c>
      <c r="B468" t="s">
        <v>490</v>
      </c>
      <c r="C468">
        <v>54</v>
      </c>
      <c r="D468" t="s">
        <v>28</v>
      </c>
      <c r="E468" t="s">
        <v>17</v>
      </c>
      <c r="F468">
        <v>671</v>
      </c>
      <c r="G468" t="s">
        <v>26</v>
      </c>
    </row>
    <row r="469" spans="1:7" x14ac:dyDescent="0.25">
      <c r="A469" t="s">
        <v>991</v>
      </c>
      <c r="B469" t="s">
        <v>491</v>
      </c>
      <c r="C469">
        <v>56</v>
      </c>
      <c r="D469" t="s">
        <v>16</v>
      </c>
      <c r="E469" t="s">
        <v>17</v>
      </c>
      <c r="F469">
        <v>822</v>
      </c>
      <c r="G469" t="s">
        <v>18</v>
      </c>
    </row>
    <row r="470" spans="1:7" x14ac:dyDescent="0.25">
      <c r="A470" t="s">
        <v>992</v>
      </c>
      <c r="B470" t="s">
        <v>492</v>
      </c>
      <c r="C470">
        <v>44</v>
      </c>
      <c r="D470" t="s">
        <v>16</v>
      </c>
      <c r="E470" t="s">
        <v>23</v>
      </c>
      <c r="F470">
        <v>677</v>
      </c>
      <c r="G470" t="s">
        <v>26</v>
      </c>
    </row>
    <row r="471" spans="1:7" x14ac:dyDescent="0.25">
      <c r="A471" t="s">
        <v>993</v>
      </c>
      <c r="B471" t="s">
        <v>493</v>
      </c>
      <c r="C471">
        <v>43</v>
      </c>
      <c r="D471" t="s">
        <v>28</v>
      </c>
      <c r="E471" t="s">
        <v>20</v>
      </c>
      <c r="F471">
        <v>729</v>
      </c>
      <c r="G471" t="s">
        <v>32</v>
      </c>
    </row>
    <row r="472" spans="1:7" x14ac:dyDescent="0.25">
      <c r="A472" t="s">
        <v>994</v>
      </c>
      <c r="B472" t="s">
        <v>494</v>
      </c>
      <c r="C472">
        <v>52</v>
      </c>
      <c r="D472" t="s">
        <v>28</v>
      </c>
      <c r="E472" t="s">
        <v>23</v>
      </c>
      <c r="F472">
        <v>824</v>
      </c>
      <c r="G472" t="s">
        <v>18</v>
      </c>
    </row>
    <row r="473" spans="1:7" x14ac:dyDescent="0.25">
      <c r="A473" t="s">
        <v>995</v>
      </c>
      <c r="B473" t="s">
        <v>495</v>
      </c>
      <c r="C473">
        <v>32</v>
      </c>
      <c r="D473" t="s">
        <v>28</v>
      </c>
      <c r="E473" t="s">
        <v>23</v>
      </c>
      <c r="F473">
        <v>707</v>
      </c>
      <c r="G473" t="s">
        <v>32</v>
      </c>
    </row>
    <row r="474" spans="1:7" x14ac:dyDescent="0.25">
      <c r="A474" t="s">
        <v>996</v>
      </c>
      <c r="B474" t="s">
        <v>496</v>
      </c>
      <c r="C474">
        <v>39</v>
      </c>
      <c r="D474" t="s">
        <v>16</v>
      </c>
      <c r="E474" t="s">
        <v>17</v>
      </c>
      <c r="F474">
        <v>772</v>
      </c>
      <c r="G474" t="s">
        <v>18</v>
      </c>
    </row>
    <row r="475" spans="1:7" x14ac:dyDescent="0.25">
      <c r="A475" t="s">
        <v>997</v>
      </c>
      <c r="B475" t="s">
        <v>497</v>
      </c>
      <c r="C475">
        <v>44</v>
      </c>
      <c r="D475" t="s">
        <v>28</v>
      </c>
      <c r="E475" t="s">
        <v>20</v>
      </c>
      <c r="F475">
        <v>563</v>
      </c>
      <c r="G475" t="s">
        <v>21</v>
      </c>
    </row>
    <row r="476" spans="1:7" x14ac:dyDescent="0.25">
      <c r="A476" t="s">
        <v>998</v>
      </c>
      <c r="B476" t="s">
        <v>498</v>
      </c>
      <c r="C476">
        <v>43</v>
      </c>
      <c r="D476" t="s">
        <v>28</v>
      </c>
      <c r="E476" t="s">
        <v>23</v>
      </c>
      <c r="F476">
        <v>559</v>
      </c>
      <c r="G476" t="s">
        <v>21</v>
      </c>
    </row>
    <row r="477" spans="1:7" x14ac:dyDescent="0.25">
      <c r="A477" t="s">
        <v>999</v>
      </c>
      <c r="B477" t="s">
        <v>499</v>
      </c>
      <c r="C477">
        <v>26</v>
      </c>
      <c r="D477" t="s">
        <v>28</v>
      </c>
      <c r="E477" t="s">
        <v>20</v>
      </c>
      <c r="F477">
        <v>706</v>
      </c>
      <c r="G477" t="s">
        <v>32</v>
      </c>
    </row>
    <row r="478" spans="1:7" x14ac:dyDescent="0.25">
      <c r="A478" t="s">
        <v>1000</v>
      </c>
      <c r="B478" t="s">
        <v>500</v>
      </c>
      <c r="C478">
        <v>50</v>
      </c>
      <c r="D478" t="s">
        <v>28</v>
      </c>
      <c r="E478" t="s">
        <v>17</v>
      </c>
      <c r="F478">
        <v>714</v>
      </c>
      <c r="G478" t="s">
        <v>32</v>
      </c>
    </row>
    <row r="479" spans="1:7" x14ac:dyDescent="0.25">
      <c r="A479" t="s">
        <v>1001</v>
      </c>
      <c r="B479" t="s">
        <v>501</v>
      </c>
      <c r="C479">
        <v>24</v>
      </c>
      <c r="D479" t="s">
        <v>16</v>
      </c>
      <c r="E479" t="s">
        <v>17</v>
      </c>
      <c r="F479">
        <v>745</v>
      </c>
      <c r="G479" t="s">
        <v>32</v>
      </c>
    </row>
    <row r="480" spans="1:7" x14ac:dyDescent="0.25">
      <c r="A480" t="s">
        <v>1002</v>
      </c>
      <c r="B480" t="s">
        <v>502</v>
      </c>
      <c r="C480">
        <v>34</v>
      </c>
      <c r="D480" t="s">
        <v>16</v>
      </c>
      <c r="E480" t="s">
        <v>17</v>
      </c>
      <c r="F480">
        <v>792</v>
      </c>
      <c r="G480" t="s">
        <v>18</v>
      </c>
    </row>
    <row r="481" spans="1:7" x14ac:dyDescent="0.25">
      <c r="A481" t="s">
        <v>1003</v>
      </c>
      <c r="B481" t="s">
        <v>503</v>
      </c>
      <c r="C481">
        <v>36</v>
      </c>
      <c r="D481" t="s">
        <v>28</v>
      </c>
      <c r="E481" t="s">
        <v>17</v>
      </c>
      <c r="F481">
        <v>626</v>
      </c>
      <c r="G481" t="s">
        <v>21</v>
      </c>
    </row>
    <row r="482" spans="1:7" x14ac:dyDescent="0.25">
      <c r="A482" t="s">
        <v>1004</v>
      </c>
      <c r="B482" t="s">
        <v>504</v>
      </c>
      <c r="C482">
        <v>33</v>
      </c>
      <c r="D482" t="s">
        <v>28</v>
      </c>
      <c r="E482" t="s">
        <v>20</v>
      </c>
      <c r="F482">
        <v>769</v>
      </c>
      <c r="G482" t="s">
        <v>18</v>
      </c>
    </row>
    <row r="483" spans="1:7" x14ac:dyDescent="0.25">
      <c r="A483" t="s">
        <v>1005</v>
      </c>
      <c r="B483" t="s">
        <v>505</v>
      </c>
      <c r="C483">
        <v>36</v>
      </c>
      <c r="D483" t="s">
        <v>28</v>
      </c>
      <c r="E483" t="s">
        <v>20</v>
      </c>
      <c r="F483">
        <v>753</v>
      </c>
      <c r="G483" t="s">
        <v>18</v>
      </c>
    </row>
    <row r="484" spans="1:7" x14ac:dyDescent="0.25">
      <c r="A484" t="s">
        <v>1006</v>
      </c>
      <c r="B484" t="s">
        <v>506</v>
      </c>
      <c r="C484">
        <v>34</v>
      </c>
      <c r="D484" t="s">
        <v>16</v>
      </c>
      <c r="E484" t="s">
        <v>20</v>
      </c>
      <c r="F484">
        <v>748</v>
      </c>
      <c r="G484" t="s">
        <v>32</v>
      </c>
    </row>
    <row r="485" spans="1:7" x14ac:dyDescent="0.25">
      <c r="A485" t="s">
        <v>1007</v>
      </c>
      <c r="B485" t="s">
        <v>507</v>
      </c>
      <c r="C485">
        <v>60</v>
      </c>
      <c r="D485" t="s">
        <v>16</v>
      </c>
      <c r="E485" t="s">
        <v>23</v>
      </c>
      <c r="F485">
        <v>798</v>
      </c>
      <c r="G485" t="s">
        <v>18</v>
      </c>
    </row>
    <row r="486" spans="1:7" x14ac:dyDescent="0.25">
      <c r="A486" t="s">
        <v>1008</v>
      </c>
      <c r="B486" t="s">
        <v>508</v>
      </c>
      <c r="C486">
        <v>29</v>
      </c>
      <c r="D486" t="s">
        <v>16</v>
      </c>
      <c r="E486" t="s">
        <v>17</v>
      </c>
      <c r="F486">
        <v>827</v>
      </c>
      <c r="G486" t="s">
        <v>18</v>
      </c>
    </row>
    <row r="487" spans="1:7" x14ac:dyDescent="0.25">
      <c r="A487" t="s">
        <v>1009</v>
      </c>
      <c r="B487" t="s">
        <v>509</v>
      </c>
      <c r="C487">
        <v>29</v>
      </c>
      <c r="D487" t="s">
        <v>16</v>
      </c>
      <c r="E487" t="s">
        <v>20</v>
      </c>
      <c r="F487">
        <v>666</v>
      </c>
      <c r="G487" t="s">
        <v>26</v>
      </c>
    </row>
    <row r="488" spans="1:7" x14ac:dyDescent="0.25">
      <c r="A488" t="s">
        <v>1010</v>
      </c>
      <c r="B488" t="s">
        <v>510</v>
      </c>
      <c r="C488">
        <v>52</v>
      </c>
      <c r="D488" t="s">
        <v>28</v>
      </c>
      <c r="E488" t="s">
        <v>17</v>
      </c>
      <c r="F488">
        <v>795</v>
      </c>
      <c r="G488" t="s">
        <v>18</v>
      </c>
    </row>
    <row r="489" spans="1:7" x14ac:dyDescent="0.25">
      <c r="A489" t="s">
        <v>1011</v>
      </c>
      <c r="B489" t="s">
        <v>511</v>
      </c>
      <c r="C489">
        <v>23</v>
      </c>
      <c r="D489" t="s">
        <v>28</v>
      </c>
      <c r="E489" t="s">
        <v>17</v>
      </c>
      <c r="F489">
        <v>744</v>
      </c>
      <c r="G489" t="s">
        <v>32</v>
      </c>
    </row>
    <row r="490" spans="1:7" x14ac:dyDescent="0.25">
      <c r="A490" t="s">
        <v>1012</v>
      </c>
      <c r="B490" t="s">
        <v>512</v>
      </c>
      <c r="C490">
        <v>31</v>
      </c>
      <c r="D490" t="s">
        <v>16</v>
      </c>
      <c r="E490" t="s">
        <v>20</v>
      </c>
      <c r="F490">
        <v>718</v>
      </c>
      <c r="G490" t="s">
        <v>32</v>
      </c>
    </row>
    <row r="491" spans="1:7" x14ac:dyDescent="0.25">
      <c r="A491" t="s">
        <v>1013</v>
      </c>
      <c r="B491" t="s">
        <v>513</v>
      </c>
      <c r="C491">
        <v>46</v>
      </c>
      <c r="D491" t="s">
        <v>28</v>
      </c>
      <c r="E491" t="s">
        <v>23</v>
      </c>
      <c r="F491">
        <v>593</v>
      </c>
      <c r="G491" t="s">
        <v>21</v>
      </c>
    </row>
    <row r="492" spans="1:7" x14ac:dyDescent="0.25">
      <c r="A492" t="s">
        <v>1014</v>
      </c>
      <c r="B492" t="s">
        <v>514</v>
      </c>
      <c r="C492">
        <v>52</v>
      </c>
      <c r="D492" t="s">
        <v>28</v>
      </c>
      <c r="E492" t="s">
        <v>20</v>
      </c>
      <c r="F492">
        <v>631</v>
      </c>
      <c r="G492" t="s">
        <v>21</v>
      </c>
    </row>
    <row r="493" spans="1:7" x14ac:dyDescent="0.25">
      <c r="A493" t="s">
        <v>1015</v>
      </c>
      <c r="B493" t="s">
        <v>515</v>
      </c>
      <c r="C493">
        <v>54</v>
      </c>
      <c r="D493" t="s">
        <v>28</v>
      </c>
      <c r="E493" t="s">
        <v>23</v>
      </c>
      <c r="F493">
        <v>808</v>
      </c>
      <c r="G493" t="s">
        <v>18</v>
      </c>
    </row>
    <row r="494" spans="1:7" x14ac:dyDescent="0.25">
      <c r="A494" t="s">
        <v>1016</v>
      </c>
      <c r="B494" t="s">
        <v>516</v>
      </c>
      <c r="C494">
        <v>25</v>
      </c>
      <c r="D494" t="s">
        <v>16</v>
      </c>
      <c r="E494" t="s">
        <v>17</v>
      </c>
      <c r="F494">
        <v>605</v>
      </c>
      <c r="G494" t="s">
        <v>21</v>
      </c>
    </row>
    <row r="495" spans="1:7" x14ac:dyDescent="0.25">
      <c r="A495" t="s">
        <v>1017</v>
      </c>
      <c r="B495" t="s">
        <v>517</v>
      </c>
      <c r="C495">
        <v>46</v>
      </c>
      <c r="D495" t="s">
        <v>16</v>
      </c>
      <c r="E495" t="s">
        <v>17</v>
      </c>
      <c r="F495">
        <v>730</v>
      </c>
      <c r="G495" t="s">
        <v>32</v>
      </c>
    </row>
    <row r="496" spans="1:7" x14ac:dyDescent="0.25">
      <c r="A496" t="s">
        <v>1018</v>
      </c>
      <c r="B496" t="s">
        <v>518</v>
      </c>
      <c r="C496">
        <v>37</v>
      </c>
      <c r="D496" t="s">
        <v>16</v>
      </c>
      <c r="E496" t="s">
        <v>23</v>
      </c>
      <c r="F496">
        <v>750</v>
      </c>
      <c r="G496" t="s">
        <v>18</v>
      </c>
    </row>
    <row r="497" spans="1:7" x14ac:dyDescent="0.25">
      <c r="A497" t="s">
        <v>1019</v>
      </c>
      <c r="B497" t="s">
        <v>519</v>
      </c>
      <c r="C497">
        <v>22</v>
      </c>
      <c r="D497" t="s">
        <v>16</v>
      </c>
      <c r="E497" t="s">
        <v>17</v>
      </c>
      <c r="F497">
        <v>569</v>
      </c>
      <c r="G497" t="s">
        <v>21</v>
      </c>
    </row>
    <row r="498" spans="1:7" x14ac:dyDescent="0.25">
      <c r="A498" t="s">
        <v>1020</v>
      </c>
      <c r="B498" t="s">
        <v>520</v>
      </c>
      <c r="C498">
        <v>44</v>
      </c>
      <c r="D498" t="s">
        <v>16</v>
      </c>
      <c r="E498" t="s">
        <v>23</v>
      </c>
      <c r="F498">
        <v>799</v>
      </c>
      <c r="G498" t="s">
        <v>18</v>
      </c>
    </row>
    <row r="499" spans="1:7" x14ac:dyDescent="0.25">
      <c r="A499" t="s">
        <v>1021</v>
      </c>
      <c r="B499" t="s">
        <v>521</v>
      </c>
      <c r="C499">
        <v>39</v>
      </c>
      <c r="D499" t="s">
        <v>16</v>
      </c>
      <c r="E499" t="s">
        <v>17</v>
      </c>
      <c r="F499">
        <v>799</v>
      </c>
      <c r="G499" t="s">
        <v>18</v>
      </c>
    </row>
    <row r="500" spans="1:7" x14ac:dyDescent="0.25">
      <c r="A500" t="s">
        <v>1022</v>
      </c>
      <c r="B500" t="s">
        <v>522</v>
      </c>
      <c r="C500">
        <v>37</v>
      </c>
      <c r="D500" t="s">
        <v>28</v>
      </c>
      <c r="E500" t="s">
        <v>20</v>
      </c>
      <c r="F500">
        <v>837</v>
      </c>
      <c r="G500" t="s">
        <v>18</v>
      </c>
    </row>
    <row r="501" spans="1:7" x14ac:dyDescent="0.25">
      <c r="A501" t="s">
        <v>1023</v>
      </c>
      <c r="B501" t="s">
        <v>523</v>
      </c>
      <c r="C501">
        <v>21</v>
      </c>
      <c r="D501" t="s">
        <v>28</v>
      </c>
      <c r="E501" t="s">
        <v>20</v>
      </c>
      <c r="F501">
        <v>836</v>
      </c>
      <c r="G501"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1"/>
  <sheetViews>
    <sheetView topLeftCell="A2" workbookViewId="0">
      <selection sqref="A1:H501"/>
    </sheetView>
  </sheetViews>
  <sheetFormatPr defaultColWidth="9" defaultRowHeight="14.4" x14ac:dyDescent="0.25"/>
  <cols>
    <col min="1" max="1" width="10.6640625" customWidth="1"/>
    <col min="2" max="2" width="15.109375" customWidth="1"/>
    <col min="3" max="3" width="12.88671875" customWidth="1"/>
    <col min="4" max="4" width="16.21875" customWidth="1"/>
    <col min="5" max="5" width="15.109375" customWidth="1"/>
    <col min="7" max="7" width="15.109375" customWidth="1"/>
    <col min="8" max="8" width="16.21875" customWidth="1"/>
  </cols>
  <sheetData>
    <row r="1" spans="1:8" x14ac:dyDescent="0.25">
      <c r="A1" t="s">
        <v>7</v>
      </c>
      <c r="B1" t="s">
        <v>8</v>
      </c>
      <c r="C1" t="s">
        <v>9</v>
      </c>
      <c r="D1" t="s">
        <v>10</v>
      </c>
      <c r="E1" t="s">
        <v>11</v>
      </c>
      <c r="F1" t="s">
        <v>12</v>
      </c>
      <c r="G1" t="s">
        <v>13</v>
      </c>
      <c r="H1" t="s">
        <v>14</v>
      </c>
    </row>
    <row r="2" spans="1:8" x14ac:dyDescent="0.25">
      <c r="A2" t="s">
        <v>1024</v>
      </c>
      <c r="B2" t="s">
        <v>729</v>
      </c>
      <c r="C2" t="s">
        <v>1025</v>
      </c>
      <c r="D2" t="s">
        <v>1026</v>
      </c>
      <c r="E2">
        <v>63000</v>
      </c>
      <c r="F2">
        <v>0.41</v>
      </c>
      <c r="G2" t="s">
        <v>1027</v>
      </c>
      <c r="H2">
        <v>0</v>
      </c>
    </row>
    <row r="3" spans="1:8" x14ac:dyDescent="0.25">
      <c r="A3" t="s">
        <v>1028</v>
      </c>
      <c r="B3" t="s">
        <v>546</v>
      </c>
      <c r="C3" t="s">
        <v>1029</v>
      </c>
      <c r="D3" t="s">
        <v>1030</v>
      </c>
      <c r="E3">
        <v>63000</v>
      </c>
      <c r="F3">
        <v>0.37</v>
      </c>
      <c r="G3" t="s">
        <v>1027</v>
      </c>
      <c r="H3">
        <v>0</v>
      </c>
    </row>
    <row r="4" spans="1:8" x14ac:dyDescent="0.25">
      <c r="A4" t="s">
        <v>1031</v>
      </c>
      <c r="B4" t="s">
        <v>613</v>
      </c>
      <c r="C4" t="s">
        <v>1032</v>
      </c>
      <c r="D4" t="s">
        <v>1026</v>
      </c>
      <c r="E4">
        <v>58000</v>
      </c>
      <c r="F4">
        <v>0.31</v>
      </c>
      <c r="G4" t="s">
        <v>1027</v>
      </c>
      <c r="H4">
        <v>0</v>
      </c>
    </row>
    <row r="5" spans="1:8" x14ac:dyDescent="0.25">
      <c r="A5" t="s">
        <v>1033</v>
      </c>
      <c r="B5" t="s">
        <v>909</v>
      </c>
      <c r="C5" t="s">
        <v>1034</v>
      </c>
      <c r="D5" t="s">
        <v>1035</v>
      </c>
      <c r="E5">
        <v>98000</v>
      </c>
      <c r="F5">
        <v>0.36</v>
      </c>
      <c r="G5" t="s">
        <v>1036</v>
      </c>
      <c r="H5">
        <v>1</v>
      </c>
    </row>
    <row r="6" spans="1:8" x14ac:dyDescent="0.25">
      <c r="A6" t="s">
        <v>1037</v>
      </c>
      <c r="B6" t="s">
        <v>878</v>
      </c>
      <c r="C6" t="s">
        <v>1038</v>
      </c>
      <c r="D6" t="s">
        <v>1039</v>
      </c>
      <c r="E6">
        <v>63000</v>
      </c>
      <c r="F6">
        <v>0.49</v>
      </c>
      <c r="G6" t="s">
        <v>1027</v>
      </c>
      <c r="H6">
        <v>0</v>
      </c>
    </row>
    <row r="7" spans="1:8" x14ac:dyDescent="0.25">
      <c r="A7" t="s">
        <v>1040</v>
      </c>
      <c r="B7" t="s">
        <v>875</v>
      </c>
      <c r="C7" t="s">
        <v>1041</v>
      </c>
      <c r="D7" t="s">
        <v>1039</v>
      </c>
      <c r="E7">
        <v>77000</v>
      </c>
      <c r="F7">
        <v>0.21</v>
      </c>
      <c r="G7" t="s">
        <v>1027</v>
      </c>
      <c r="H7">
        <v>0</v>
      </c>
    </row>
    <row r="8" spans="1:8" x14ac:dyDescent="0.25">
      <c r="A8" t="s">
        <v>1042</v>
      </c>
      <c r="B8" t="s">
        <v>525</v>
      </c>
      <c r="C8" t="s">
        <v>1025</v>
      </c>
      <c r="D8" t="s">
        <v>1035</v>
      </c>
      <c r="E8">
        <v>10000</v>
      </c>
      <c r="F8">
        <v>0.38</v>
      </c>
      <c r="G8" t="s">
        <v>1027</v>
      </c>
      <c r="H8">
        <v>0</v>
      </c>
    </row>
    <row r="9" spans="1:8" x14ac:dyDescent="0.25">
      <c r="A9" t="s">
        <v>1043</v>
      </c>
      <c r="B9" t="s">
        <v>936</v>
      </c>
      <c r="C9" t="s">
        <v>1025</v>
      </c>
      <c r="D9" t="s">
        <v>1039</v>
      </c>
      <c r="E9">
        <v>81000</v>
      </c>
      <c r="F9">
        <v>0.4</v>
      </c>
      <c r="G9" t="s">
        <v>1027</v>
      </c>
      <c r="H9">
        <v>0</v>
      </c>
    </row>
    <row r="10" spans="1:8" x14ac:dyDescent="0.25">
      <c r="A10" t="s">
        <v>1044</v>
      </c>
      <c r="B10" t="s">
        <v>678</v>
      </c>
      <c r="C10" t="s">
        <v>1025</v>
      </c>
      <c r="D10" t="s">
        <v>1035</v>
      </c>
      <c r="E10">
        <v>49000</v>
      </c>
      <c r="F10">
        <v>0.21</v>
      </c>
      <c r="G10" t="s">
        <v>1027</v>
      </c>
      <c r="H10">
        <v>0</v>
      </c>
    </row>
    <row r="11" spans="1:8" x14ac:dyDescent="0.25">
      <c r="A11" t="s">
        <v>1045</v>
      </c>
      <c r="B11" t="s">
        <v>578</v>
      </c>
      <c r="C11" t="s">
        <v>1025</v>
      </c>
      <c r="D11" t="s">
        <v>1035</v>
      </c>
      <c r="E11">
        <v>52000</v>
      </c>
      <c r="F11">
        <v>0.33</v>
      </c>
      <c r="G11" t="s">
        <v>1027</v>
      </c>
      <c r="H11">
        <v>0</v>
      </c>
    </row>
    <row r="12" spans="1:8" x14ac:dyDescent="0.25">
      <c r="A12" t="s">
        <v>1046</v>
      </c>
      <c r="B12" t="s">
        <v>589</v>
      </c>
      <c r="C12" t="s">
        <v>1038</v>
      </c>
      <c r="D12" t="s">
        <v>1035</v>
      </c>
      <c r="E12">
        <v>84000</v>
      </c>
      <c r="F12">
        <v>0.24</v>
      </c>
      <c r="G12" t="s">
        <v>1027</v>
      </c>
      <c r="H12">
        <v>0</v>
      </c>
    </row>
    <row r="13" spans="1:8" x14ac:dyDescent="0.25">
      <c r="A13" t="s">
        <v>1047</v>
      </c>
      <c r="B13" t="s">
        <v>562</v>
      </c>
      <c r="C13" t="s">
        <v>1041</v>
      </c>
      <c r="D13" t="s">
        <v>1039</v>
      </c>
      <c r="E13">
        <v>96000</v>
      </c>
      <c r="F13">
        <v>0.43</v>
      </c>
      <c r="G13" t="s">
        <v>1027</v>
      </c>
      <c r="H13">
        <v>0</v>
      </c>
    </row>
    <row r="14" spans="1:8" x14ac:dyDescent="0.25">
      <c r="A14" t="s">
        <v>1048</v>
      </c>
      <c r="B14" t="s">
        <v>749</v>
      </c>
      <c r="C14" t="s">
        <v>1049</v>
      </c>
      <c r="D14" t="s">
        <v>1026</v>
      </c>
      <c r="E14">
        <v>23000</v>
      </c>
      <c r="F14">
        <v>0.44</v>
      </c>
      <c r="G14" t="s">
        <v>1027</v>
      </c>
      <c r="H14">
        <v>0</v>
      </c>
    </row>
    <row r="15" spans="1:8" x14ac:dyDescent="0.25">
      <c r="A15" t="s">
        <v>1050</v>
      </c>
      <c r="B15" t="s">
        <v>990</v>
      </c>
      <c r="C15" t="s">
        <v>1025</v>
      </c>
      <c r="D15" t="s">
        <v>1039</v>
      </c>
      <c r="E15">
        <v>15000</v>
      </c>
      <c r="F15">
        <v>0.24</v>
      </c>
      <c r="G15" t="s">
        <v>1027</v>
      </c>
      <c r="H15">
        <v>0</v>
      </c>
    </row>
    <row r="16" spans="1:8" x14ac:dyDescent="0.25">
      <c r="A16" t="s">
        <v>1051</v>
      </c>
      <c r="B16" t="s">
        <v>694</v>
      </c>
      <c r="C16" t="s">
        <v>1032</v>
      </c>
      <c r="D16" t="s">
        <v>1039</v>
      </c>
      <c r="E16">
        <v>91000</v>
      </c>
      <c r="F16">
        <v>0.55000000000000004</v>
      </c>
      <c r="G16" t="s">
        <v>1027</v>
      </c>
      <c r="H16">
        <v>0</v>
      </c>
    </row>
    <row r="17" spans="1:8" x14ac:dyDescent="0.25">
      <c r="A17" t="s">
        <v>1052</v>
      </c>
      <c r="B17" t="s">
        <v>976</v>
      </c>
      <c r="C17" t="s">
        <v>1053</v>
      </c>
      <c r="D17" t="s">
        <v>1030</v>
      </c>
      <c r="E17">
        <v>85000</v>
      </c>
      <c r="F17">
        <v>0.46</v>
      </c>
      <c r="G17" t="s">
        <v>1027</v>
      </c>
      <c r="H17">
        <v>0</v>
      </c>
    </row>
    <row r="18" spans="1:8" x14ac:dyDescent="0.25">
      <c r="A18" t="s">
        <v>1054</v>
      </c>
      <c r="B18" t="s">
        <v>790</v>
      </c>
      <c r="C18" t="s">
        <v>1055</v>
      </c>
      <c r="D18" t="s">
        <v>1039</v>
      </c>
      <c r="E18">
        <v>76000</v>
      </c>
      <c r="F18">
        <v>0.54</v>
      </c>
      <c r="G18" t="s">
        <v>1027</v>
      </c>
      <c r="H18">
        <v>0</v>
      </c>
    </row>
    <row r="19" spans="1:8" x14ac:dyDescent="0.25">
      <c r="A19" t="s">
        <v>1056</v>
      </c>
      <c r="B19" t="s">
        <v>544</v>
      </c>
      <c r="C19" t="s">
        <v>1029</v>
      </c>
      <c r="D19" t="s">
        <v>1035</v>
      </c>
      <c r="E19">
        <v>77000</v>
      </c>
      <c r="F19">
        <v>0.28000000000000003</v>
      </c>
      <c r="G19" t="s">
        <v>1036</v>
      </c>
      <c r="H19">
        <v>1</v>
      </c>
    </row>
    <row r="20" spans="1:8" x14ac:dyDescent="0.25">
      <c r="A20" t="s">
        <v>1057</v>
      </c>
      <c r="B20" t="s">
        <v>934</v>
      </c>
      <c r="C20" t="s">
        <v>1049</v>
      </c>
      <c r="D20" t="s">
        <v>1039</v>
      </c>
      <c r="E20">
        <v>37000</v>
      </c>
      <c r="F20">
        <v>0.21</v>
      </c>
      <c r="G20" t="s">
        <v>1027</v>
      </c>
      <c r="H20">
        <v>0</v>
      </c>
    </row>
    <row r="21" spans="1:8" x14ac:dyDescent="0.25">
      <c r="A21" t="s">
        <v>1058</v>
      </c>
      <c r="B21" t="s">
        <v>831</v>
      </c>
      <c r="C21" t="s">
        <v>1053</v>
      </c>
      <c r="D21" t="s">
        <v>1030</v>
      </c>
      <c r="E21">
        <v>16000</v>
      </c>
      <c r="F21">
        <v>0.22</v>
      </c>
      <c r="G21" t="s">
        <v>1027</v>
      </c>
      <c r="H21">
        <v>0</v>
      </c>
    </row>
    <row r="22" spans="1:8" x14ac:dyDescent="0.25">
      <c r="A22" t="s">
        <v>1059</v>
      </c>
      <c r="B22" t="s">
        <v>615</v>
      </c>
      <c r="C22" t="s">
        <v>1034</v>
      </c>
      <c r="D22" t="s">
        <v>1026</v>
      </c>
      <c r="E22">
        <v>75000</v>
      </c>
      <c r="F22">
        <v>0.2</v>
      </c>
      <c r="G22" t="s">
        <v>1027</v>
      </c>
      <c r="H22">
        <v>0</v>
      </c>
    </row>
    <row r="23" spans="1:8" x14ac:dyDescent="0.25">
      <c r="A23" t="s">
        <v>1060</v>
      </c>
      <c r="B23" t="s">
        <v>643</v>
      </c>
      <c r="C23" t="s">
        <v>1034</v>
      </c>
      <c r="D23" t="s">
        <v>1035</v>
      </c>
      <c r="E23">
        <v>57000</v>
      </c>
      <c r="F23">
        <v>0.36</v>
      </c>
      <c r="G23" t="s">
        <v>1027</v>
      </c>
      <c r="H23">
        <v>0</v>
      </c>
    </row>
    <row r="24" spans="1:8" x14ac:dyDescent="0.25">
      <c r="A24" t="s">
        <v>1061</v>
      </c>
      <c r="B24" t="s">
        <v>605</v>
      </c>
      <c r="C24" t="s">
        <v>1032</v>
      </c>
      <c r="D24" t="s">
        <v>1026</v>
      </c>
      <c r="E24">
        <v>71000</v>
      </c>
      <c r="F24">
        <v>0.2</v>
      </c>
      <c r="G24" t="s">
        <v>1027</v>
      </c>
      <c r="H24">
        <v>0</v>
      </c>
    </row>
    <row r="25" spans="1:8" x14ac:dyDescent="0.25">
      <c r="A25" t="s">
        <v>1062</v>
      </c>
      <c r="B25" t="s">
        <v>534</v>
      </c>
      <c r="C25" t="s">
        <v>1032</v>
      </c>
      <c r="D25" t="s">
        <v>1035</v>
      </c>
      <c r="E25">
        <v>33000</v>
      </c>
      <c r="F25">
        <v>0.48</v>
      </c>
      <c r="G25" t="s">
        <v>1027</v>
      </c>
      <c r="H25">
        <v>0</v>
      </c>
    </row>
    <row r="26" spans="1:8" x14ac:dyDescent="0.25">
      <c r="A26" t="s">
        <v>1063</v>
      </c>
      <c r="B26" t="s">
        <v>789</v>
      </c>
      <c r="C26" t="s">
        <v>1032</v>
      </c>
      <c r="D26" t="s">
        <v>1026</v>
      </c>
      <c r="E26">
        <v>68000</v>
      </c>
      <c r="F26">
        <v>0.36</v>
      </c>
      <c r="G26" t="s">
        <v>1027</v>
      </c>
      <c r="H26">
        <v>0</v>
      </c>
    </row>
    <row r="27" spans="1:8" x14ac:dyDescent="0.25">
      <c r="A27" t="s">
        <v>1064</v>
      </c>
      <c r="B27" t="s">
        <v>589</v>
      </c>
      <c r="C27" t="s">
        <v>1065</v>
      </c>
      <c r="D27" t="s">
        <v>1030</v>
      </c>
      <c r="E27">
        <v>33000</v>
      </c>
      <c r="F27">
        <v>0.48</v>
      </c>
      <c r="G27" t="s">
        <v>1036</v>
      </c>
      <c r="H27">
        <v>1</v>
      </c>
    </row>
    <row r="28" spans="1:8" x14ac:dyDescent="0.25">
      <c r="A28" t="s">
        <v>1066</v>
      </c>
      <c r="B28" t="s">
        <v>868</v>
      </c>
      <c r="C28" t="s">
        <v>1065</v>
      </c>
      <c r="D28" t="s">
        <v>1035</v>
      </c>
      <c r="E28">
        <v>89000</v>
      </c>
      <c r="F28">
        <v>0.53</v>
      </c>
      <c r="G28" t="s">
        <v>1027</v>
      </c>
      <c r="H28">
        <v>0</v>
      </c>
    </row>
    <row r="29" spans="1:8" x14ac:dyDescent="0.25">
      <c r="A29" t="s">
        <v>1067</v>
      </c>
      <c r="B29" t="s">
        <v>810</v>
      </c>
      <c r="C29" t="s">
        <v>1041</v>
      </c>
      <c r="D29" t="s">
        <v>1030</v>
      </c>
      <c r="E29">
        <v>94000</v>
      </c>
      <c r="F29">
        <v>0.26</v>
      </c>
      <c r="G29" t="s">
        <v>1027</v>
      </c>
      <c r="H29">
        <v>0</v>
      </c>
    </row>
    <row r="30" spans="1:8" x14ac:dyDescent="0.25">
      <c r="A30" t="s">
        <v>1068</v>
      </c>
      <c r="B30" t="s">
        <v>830</v>
      </c>
      <c r="C30" t="s">
        <v>1049</v>
      </c>
      <c r="D30" t="s">
        <v>1039</v>
      </c>
      <c r="E30">
        <v>60000</v>
      </c>
      <c r="F30">
        <v>0.21</v>
      </c>
      <c r="G30" t="s">
        <v>1027</v>
      </c>
      <c r="H30">
        <v>0</v>
      </c>
    </row>
    <row r="31" spans="1:8" x14ac:dyDescent="0.25">
      <c r="A31" t="s">
        <v>1069</v>
      </c>
      <c r="B31" t="s">
        <v>723</v>
      </c>
      <c r="C31" t="s">
        <v>1055</v>
      </c>
      <c r="D31" t="s">
        <v>1030</v>
      </c>
      <c r="E31">
        <v>41000</v>
      </c>
      <c r="F31">
        <v>0.52</v>
      </c>
      <c r="G31" t="s">
        <v>1027</v>
      </c>
      <c r="H31">
        <v>0</v>
      </c>
    </row>
    <row r="32" spans="1:8" x14ac:dyDescent="0.25">
      <c r="A32" t="s">
        <v>1070</v>
      </c>
      <c r="B32" t="s">
        <v>873</v>
      </c>
      <c r="C32" t="s">
        <v>1025</v>
      </c>
      <c r="D32" t="s">
        <v>1026</v>
      </c>
      <c r="E32">
        <v>10000</v>
      </c>
      <c r="F32">
        <v>0.34</v>
      </c>
      <c r="G32" t="s">
        <v>1036</v>
      </c>
      <c r="H32">
        <v>1</v>
      </c>
    </row>
    <row r="33" spans="1:8" x14ac:dyDescent="0.25">
      <c r="A33" t="s">
        <v>1071</v>
      </c>
      <c r="B33" t="s">
        <v>1015</v>
      </c>
      <c r="C33" t="s">
        <v>1034</v>
      </c>
      <c r="D33" t="s">
        <v>1039</v>
      </c>
      <c r="E33">
        <v>13000</v>
      </c>
      <c r="F33">
        <v>0.39</v>
      </c>
      <c r="G33" t="s">
        <v>1027</v>
      </c>
      <c r="H33">
        <v>0</v>
      </c>
    </row>
    <row r="34" spans="1:8" x14ac:dyDescent="0.25">
      <c r="A34" t="s">
        <v>1072</v>
      </c>
      <c r="B34" t="s">
        <v>563</v>
      </c>
      <c r="C34" t="s">
        <v>1032</v>
      </c>
      <c r="D34" t="s">
        <v>1035</v>
      </c>
      <c r="E34">
        <v>73000</v>
      </c>
      <c r="F34">
        <v>0.44</v>
      </c>
      <c r="G34" t="s">
        <v>1027</v>
      </c>
      <c r="H34">
        <v>0</v>
      </c>
    </row>
    <row r="35" spans="1:8" x14ac:dyDescent="0.25">
      <c r="A35" t="s">
        <v>1073</v>
      </c>
      <c r="B35" t="s">
        <v>841</v>
      </c>
      <c r="C35" t="s">
        <v>1065</v>
      </c>
      <c r="D35" t="s">
        <v>1026</v>
      </c>
      <c r="E35">
        <v>75000</v>
      </c>
      <c r="F35">
        <v>0.49</v>
      </c>
      <c r="G35" t="s">
        <v>1027</v>
      </c>
      <c r="H35">
        <v>0</v>
      </c>
    </row>
    <row r="36" spans="1:8" x14ac:dyDescent="0.25">
      <c r="A36" t="s">
        <v>1074</v>
      </c>
      <c r="B36" t="s">
        <v>642</v>
      </c>
      <c r="C36" t="s">
        <v>1055</v>
      </c>
      <c r="D36" t="s">
        <v>1030</v>
      </c>
      <c r="E36">
        <v>17000</v>
      </c>
      <c r="F36">
        <v>0.55000000000000004</v>
      </c>
      <c r="G36" t="s">
        <v>1036</v>
      </c>
      <c r="H36">
        <v>1</v>
      </c>
    </row>
    <row r="37" spans="1:8" x14ac:dyDescent="0.25">
      <c r="A37" t="s">
        <v>1075</v>
      </c>
      <c r="B37" t="s">
        <v>903</v>
      </c>
      <c r="C37" t="s">
        <v>1025</v>
      </c>
      <c r="D37" t="s">
        <v>1035</v>
      </c>
      <c r="E37">
        <v>88000</v>
      </c>
      <c r="F37">
        <v>0.15</v>
      </c>
      <c r="G37" t="s">
        <v>1027</v>
      </c>
      <c r="H37">
        <v>0</v>
      </c>
    </row>
    <row r="38" spans="1:8" x14ac:dyDescent="0.25">
      <c r="A38" t="s">
        <v>1076</v>
      </c>
      <c r="B38" t="s">
        <v>641</v>
      </c>
      <c r="C38" t="s">
        <v>1041</v>
      </c>
      <c r="D38" t="s">
        <v>1035</v>
      </c>
      <c r="E38">
        <v>80000</v>
      </c>
      <c r="F38">
        <v>0.49</v>
      </c>
      <c r="G38" t="s">
        <v>1027</v>
      </c>
      <c r="H38">
        <v>0</v>
      </c>
    </row>
    <row r="39" spans="1:8" x14ac:dyDescent="0.25">
      <c r="A39" t="s">
        <v>1077</v>
      </c>
      <c r="B39" t="s">
        <v>588</v>
      </c>
      <c r="C39" t="s">
        <v>1025</v>
      </c>
      <c r="D39" t="s">
        <v>1035</v>
      </c>
      <c r="E39">
        <v>31000</v>
      </c>
      <c r="F39">
        <v>0.46</v>
      </c>
      <c r="G39" t="s">
        <v>1036</v>
      </c>
      <c r="H39">
        <v>1</v>
      </c>
    </row>
    <row r="40" spans="1:8" x14ac:dyDescent="0.25">
      <c r="A40" t="s">
        <v>1078</v>
      </c>
      <c r="B40" t="s">
        <v>849</v>
      </c>
      <c r="C40" t="s">
        <v>1041</v>
      </c>
      <c r="D40" t="s">
        <v>1030</v>
      </c>
      <c r="E40">
        <v>84000</v>
      </c>
      <c r="F40">
        <v>0.22</v>
      </c>
      <c r="G40" t="s">
        <v>1036</v>
      </c>
      <c r="H40">
        <v>1</v>
      </c>
    </row>
    <row r="41" spans="1:8" x14ac:dyDescent="0.25">
      <c r="A41" t="s">
        <v>1079</v>
      </c>
      <c r="B41" t="s">
        <v>906</v>
      </c>
      <c r="C41" t="s">
        <v>1025</v>
      </c>
      <c r="D41" t="s">
        <v>1026</v>
      </c>
      <c r="E41">
        <v>74000</v>
      </c>
      <c r="F41">
        <v>0.26</v>
      </c>
      <c r="G41" t="s">
        <v>1027</v>
      </c>
      <c r="H41">
        <v>0</v>
      </c>
    </row>
    <row r="42" spans="1:8" x14ac:dyDescent="0.25">
      <c r="A42" t="s">
        <v>1080</v>
      </c>
      <c r="B42" t="s">
        <v>643</v>
      </c>
      <c r="C42" t="s">
        <v>1034</v>
      </c>
      <c r="D42" t="s">
        <v>1035</v>
      </c>
      <c r="E42">
        <v>11000</v>
      </c>
      <c r="F42">
        <v>0.18</v>
      </c>
      <c r="G42" t="s">
        <v>1027</v>
      </c>
      <c r="H42">
        <v>0</v>
      </c>
    </row>
    <row r="43" spans="1:8" x14ac:dyDescent="0.25">
      <c r="A43" t="s">
        <v>1081</v>
      </c>
      <c r="B43" t="s">
        <v>715</v>
      </c>
      <c r="C43" t="s">
        <v>1049</v>
      </c>
      <c r="D43" t="s">
        <v>1035</v>
      </c>
      <c r="E43">
        <v>18000</v>
      </c>
      <c r="F43">
        <v>0.28999999999999998</v>
      </c>
      <c r="G43" t="s">
        <v>1027</v>
      </c>
      <c r="H43">
        <v>0</v>
      </c>
    </row>
    <row r="44" spans="1:8" x14ac:dyDescent="0.25">
      <c r="A44" t="s">
        <v>1082</v>
      </c>
      <c r="B44" t="s">
        <v>879</v>
      </c>
      <c r="C44" t="s">
        <v>1065</v>
      </c>
      <c r="D44" t="s">
        <v>1026</v>
      </c>
      <c r="E44">
        <v>22000</v>
      </c>
      <c r="F44">
        <v>0.35</v>
      </c>
      <c r="G44" t="s">
        <v>1027</v>
      </c>
      <c r="H44">
        <v>0</v>
      </c>
    </row>
    <row r="45" spans="1:8" x14ac:dyDescent="0.25">
      <c r="A45" t="s">
        <v>1083</v>
      </c>
      <c r="B45" t="s">
        <v>760</v>
      </c>
      <c r="C45" t="s">
        <v>1065</v>
      </c>
      <c r="D45" t="s">
        <v>1030</v>
      </c>
      <c r="E45">
        <v>45000</v>
      </c>
      <c r="F45">
        <v>0.27</v>
      </c>
      <c r="G45" t="s">
        <v>1027</v>
      </c>
      <c r="H45">
        <v>0</v>
      </c>
    </row>
    <row r="46" spans="1:8" x14ac:dyDescent="0.25">
      <c r="A46" t="s">
        <v>1084</v>
      </c>
      <c r="B46" t="s">
        <v>592</v>
      </c>
      <c r="C46" t="s">
        <v>1041</v>
      </c>
      <c r="D46" t="s">
        <v>1026</v>
      </c>
      <c r="E46">
        <v>11000</v>
      </c>
      <c r="F46">
        <v>0.51</v>
      </c>
      <c r="G46" t="s">
        <v>1027</v>
      </c>
      <c r="H46">
        <v>0</v>
      </c>
    </row>
    <row r="47" spans="1:8" x14ac:dyDescent="0.25">
      <c r="A47" t="s">
        <v>1085</v>
      </c>
      <c r="B47" t="s">
        <v>533</v>
      </c>
      <c r="C47" t="s">
        <v>1053</v>
      </c>
      <c r="D47" t="s">
        <v>1035</v>
      </c>
      <c r="E47">
        <v>46000</v>
      </c>
      <c r="F47">
        <v>0.23</v>
      </c>
      <c r="G47" t="s">
        <v>1027</v>
      </c>
      <c r="H47">
        <v>0</v>
      </c>
    </row>
    <row r="48" spans="1:8" x14ac:dyDescent="0.25">
      <c r="A48" t="s">
        <v>1086</v>
      </c>
      <c r="B48" t="s">
        <v>962</v>
      </c>
      <c r="C48" t="s">
        <v>1034</v>
      </c>
      <c r="D48" t="s">
        <v>1039</v>
      </c>
      <c r="E48">
        <v>53000</v>
      </c>
      <c r="F48">
        <v>0.48</v>
      </c>
      <c r="G48" t="s">
        <v>1027</v>
      </c>
      <c r="H48">
        <v>0</v>
      </c>
    </row>
    <row r="49" spans="1:8" x14ac:dyDescent="0.25">
      <c r="A49" t="s">
        <v>1087</v>
      </c>
      <c r="B49" t="s">
        <v>834</v>
      </c>
      <c r="C49" t="s">
        <v>1049</v>
      </c>
      <c r="D49" t="s">
        <v>1035</v>
      </c>
      <c r="E49">
        <v>89000</v>
      </c>
      <c r="F49">
        <v>0.35</v>
      </c>
      <c r="G49" t="s">
        <v>1027</v>
      </c>
      <c r="H49">
        <v>0</v>
      </c>
    </row>
    <row r="50" spans="1:8" x14ac:dyDescent="0.25">
      <c r="A50" t="s">
        <v>1088</v>
      </c>
      <c r="B50" t="s">
        <v>955</v>
      </c>
      <c r="C50" t="s">
        <v>1032</v>
      </c>
      <c r="D50" t="s">
        <v>1039</v>
      </c>
      <c r="E50">
        <v>70000</v>
      </c>
      <c r="F50">
        <v>0.39</v>
      </c>
      <c r="G50" t="s">
        <v>1027</v>
      </c>
      <c r="H50">
        <v>0</v>
      </c>
    </row>
    <row r="51" spans="1:8" x14ac:dyDescent="0.25">
      <c r="A51" t="s">
        <v>1089</v>
      </c>
      <c r="B51" t="s">
        <v>727</v>
      </c>
      <c r="C51" t="s">
        <v>1055</v>
      </c>
      <c r="D51" t="s">
        <v>1030</v>
      </c>
      <c r="E51">
        <v>87000</v>
      </c>
      <c r="F51">
        <v>0.5</v>
      </c>
      <c r="G51" t="s">
        <v>1027</v>
      </c>
      <c r="H51">
        <v>0</v>
      </c>
    </row>
    <row r="52" spans="1:8" x14ac:dyDescent="0.25">
      <c r="A52" t="s">
        <v>1090</v>
      </c>
      <c r="B52" t="s">
        <v>728</v>
      </c>
      <c r="C52" t="s">
        <v>1053</v>
      </c>
      <c r="D52" t="s">
        <v>1030</v>
      </c>
      <c r="E52">
        <v>42000</v>
      </c>
      <c r="F52">
        <v>0.27</v>
      </c>
      <c r="G52" t="s">
        <v>1027</v>
      </c>
      <c r="H52">
        <v>0</v>
      </c>
    </row>
    <row r="53" spans="1:8" x14ac:dyDescent="0.25">
      <c r="A53" t="s">
        <v>1091</v>
      </c>
      <c r="B53" t="s">
        <v>1000</v>
      </c>
      <c r="C53" t="s">
        <v>1055</v>
      </c>
      <c r="D53" t="s">
        <v>1030</v>
      </c>
      <c r="E53">
        <v>70000</v>
      </c>
      <c r="F53">
        <v>0.34</v>
      </c>
      <c r="G53" t="s">
        <v>1027</v>
      </c>
      <c r="H53">
        <v>0</v>
      </c>
    </row>
    <row r="54" spans="1:8" x14ac:dyDescent="0.25">
      <c r="A54" t="s">
        <v>1092</v>
      </c>
      <c r="B54" t="s">
        <v>815</v>
      </c>
      <c r="C54" t="s">
        <v>1065</v>
      </c>
      <c r="D54" t="s">
        <v>1030</v>
      </c>
      <c r="E54">
        <v>84000</v>
      </c>
      <c r="F54">
        <v>0.34</v>
      </c>
      <c r="G54" t="s">
        <v>1027</v>
      </c>
      <c r="H54">
        <v>0</v>
      </c>
    </row>
    <row r="55" spans="1:8" x14ac:dyDescent="0.25">
      <c r="A55" t="s">
        <v>1093</v>
      </c>
      <c r="B55" t="s">
        <v>822</v>
      </c>
      <c r="C55" t="s">
        <v>1038</v>
      </c>
      <c r="D55" t="s">
        <v>1026</v>
      </c>
      <c r="E55">
        <v>36000</v>
      </c>
      <c r="F55">
        <v>0.49</v>
      </c>
      <c r="G55" t="s">
        <v>1027</v>
      </c>
      <c r="H55">
        <v>0</v>
      </c>
    </row>
    <row r="56" spans="1:8" x14ac:dyDescent="0.25">
      <c r="A56" t="s">
        <v>1094</v>
      </c>
      <c r="B56" t="s">
        <v>768</v>
      </c>
      <c r="C56" t="s">
        <v>1055</v>
      </c>
      <c r="D56" t="s">
        <v>1026</v>
      </c>
      <c r="E56">
        <v>72000</v>
      </c>
      <c r="F56">
        <v>0.25</v>
      </c>
      <c r="G56" t="s">
        <v>1036</v>
      </c>
      <c r="H56">
        <v>1</v>
      </c>
    </row>
    <row r="57" spans="1:8" x14ac:dyDescent="0.25">
      <c r="A57" t="s">
        <v>1095</v>
      </c>
      <c r="B57" t="s">
        <v>616</v>
      </c>
      <c r="C57" t="s">
        <v>1025</v>
      </c>
      <c r="D57" t="s">
        <v>1026</v>
      </c>
      <c r="E57">
        <v>100000</v>
      </c>
      <c r="F57">
        <v>0.37</v>
      </c>
      <c r="G57" t="s">
        <v>1027</v>
      </c>
      <c r="H57">
        <v>0</v>
      </c>
    </row>
    <row r="58" spans="1:8" x14ac:dyDescent="0.25">
      <c r="A58" t="s">
        <v>1096</v>
      </c>
      <c r="B58" t="s">
        <v>884</v>
      </c>
      <c r="C58" t="s">
        <v>1055</v>
      </c>
      <c r="D58" t="s">
        <v>1026</v>
      </c>
      <c r="E58">
        <v>13000</v>
      </c>
      <c r="F58">
        <v>0.17</v>
      </c>
      <c r="G58" t="s">
        <v>1036</v>
      </c>
      <c r="H58">
        <v>1</v>
      </c>
    </row>
    <row r="59" spans="1:8" x14ac:dyDescent="0.25">
      <c r="A59" t="s">
        <v>1097</v>
      </c>
      <c r="B59" t="s">
        <v>888</v>
      </c>
      <c r="C59" t="s">
        <v>1032</v>
      </c>
      <c r="D59" t="s">
        <v>1039</v>
      </c>
      <c r="E59">
        <v>20000</v>
      </c>
      <c r="F59">
        <v>0.23</v>
      </c>
      <c r="G59" t="s">
        <v>1027</v>
      </c>
      <c r="H59">
        <v>0</v>
      </c>
    </row>
    <row r="60" spans="1:8" x14ac:dyDescent="0.25">
      <c r="A60" t="s">
        <v>1098</v>
      </c>
      <c r="B60" t="s">
        <v>946</v>
      </c>
      <c r="C60" t="s">
        <v>1053</v>
      </c>
      <c r="D60" t="s">
        <v>1026</v>
      </c>
      <c r="E60">
        <v>52000</v>
      </c>
      <c r="F60">
        <v>0.37</v>
      </c>
      <c r="G60" t="s">
        <v>1027</v>
      </c>
      <c r="H60">
        <v>0</v>
      </c>
    </row>
    <row r="61" spans="1:8" x14ac:dyDescent="0.25">
      <c r="A61" t="s">
        <v>1099</v>
      </c>
      <c r="B61" t="s">
        <v>990</v>
      </c>
      <c r="C61" t="s">
        <v>1038</v>
      </c>
      <c r="D61" t="s">
        <v>1039</v>
      </c>
      <c r="E61">
        <v>87000</v>
      </c>
      <c r="F61">
        <v>0.28000000000000003</v>
      </c>
      <c r="G61" t="s">
        <v>1036</v>
      </c>
      <c r="H61">
        <v>1</v>
      </c>
    </row>
    <row r="62" spans="1:8" x14ac:dyDescent="0.25">
      <c r="A62" t="s">
        <v>1100</v>
      </c>
      <c r="B62" t="s">
        <v>569</v>
      </c>
      <c r="C62" t="s">
        <v>1049</v>
      </c>
      <c r="D62" t="s">
        <v>1035</v>
      </c>
      <c r="E62">
        <v>33000</v>
      </c>
      <c r="F62">
        <v>0.42</v>
      </c>
      <c r="G62" t="s">
        <v>1027</v>
      </c>
      <c r="H62">
        <v>0</v>
      </c>
    </row>
    <row r="63" spans="1:8" x14ac:dyDescent="0.25">
      <c r="A63" t="s">
        <v>1101</v>
      </c>
      <c r="B63" t="s">
        <v>894</v>
      </c>
      <c r="C63" t="s">
        <v>1029</v>
      </c>
      <c r="D63" t="s">
        <v>1026</v>
      </c>
      <c r="E63">
        <v>86000</v>
      </c>
      <c r="F63">
        <v>0.22</v>
      </c>
      <c r="G63" t="s">
        <v>1036</v>
      </c>
      <c r="H63">
        <v>1</v>
      </c>
    </row>
    <row r="64" spans="1:8" x14ac:dyDescent="0.25">
      <c r="A64" t="s">
        <v>1102</v>
      </c>
      <c r="B64" t="s">
        <v>957</v>
      </c>
      <c r="C64" t="s">
        <v>1032</v>
      </c>
      <c r="D64" t="s">
        <v>1026</v>
      </c>
      <c r="E64">
        <v>24000</v>
      </c>
      <c r="F64">
        <v>0.37</v>
      </c>
      <c r="G64" t="s">
        <v>1027</v>
      </c>
      <c r="H64">
        <v>0</v>
      </c>
    </row>
    <row r="65" spans="1:8" x14ac:dyDescent="0.25">
      <c r="A65" t="s">
        <v>1103</v>
      </c>
      <c r="B65" t="s">
        <v>904</v>
      </c>
      <c r="C65" t="s">
        <v>1041</v>
      </c>
      <c r="D65" t="s">
        <v>1026</v>
      </c>
      <c r="E65">
        <v>89000</v>
      </c>
      <c r="F65">
        <v>0.49</v>
      </c>
      <c r="G65" t="s">
        <v>1036</v>
      </c>
      <c r="H65">
        <v>1</v>
      </c>
    </row>
    <row r="66" spans="1:8" x14ac:dyDescent="0.25">
      <c r="A66" t="s">
        <v>1104</v>
      </c>
      <c r="B66" t="s">
        <v>910</v>
      </c>
      <c r="C66" t="s">
        <v>1032</v>
      </c>
      <c r="D66" t="s">
        <v>1039</v>
      </c>
      <c r="E66">
        <v>46000</v>
      </c>
      <c r="F66">
        <v>0.52</v>
      </c>
      <c r="G66" t="s">
        <v>1027</v>
      </c>
      <c r="H66">
        <v>0</v>
      </c>
    </row>
    <row r="67" spans="1:8" x14ac:dyDescent="0.25">
      <c r="A67" t="s">
        <v>1105</v>
      </c>
      <c r="B67" t="s">
        <v>686</v>
      </c>
      <c r="C67" t="s">
        <v>1049</v>
      </c>
      <c r="D67" t="s">
        <v>1030</v>
      </c>
      <c r="E67">
        <v>79000</v>
      </c>
      <c r="F67">
        <v>0.16</v>
      </c>
      <c r="G67" t="s">
        <v>1027</v>
      </c>
      <c r="H67">
        <v>0</v>
      </c>
    </row>
    <row r="68" spans="1:8" x14ac:dyDescent="0.25">
      <c r="A68" t="s">
        <v>1106</v>
      </c>
      <c r="B68" t="s">
        <v>645</v>
      </c>
      <c r="C68" t="s">
        <v>1029</v>
      </c>
      <c r="D68" t="s">
        <v>1035</v>
      </c>
      <c r="E68">
        <v>39000</v>
      </c>
      <c r="F68">
        <v>0.17</v>
      </c>
      <c r="G68" t="s">
        <v>1027</v>
      </c>
      <c r="H68">
        <v>0</v>
      </c>
    </row>
    <row r="69" spans="1:8" x14ac:dyDescent="0.25">
      <c r="A69" t="s">
        <v>1107</v>
      </c>
      <c r="B69" t="s">
        <v>627</v>
      </c>
      <c r="C69" t="s">
        <v>1038</v>
      </c>
      <c r="D69" t="s">
        <v>1039</v>
      </c>
      <c r="E69">
        <v>18000</v>
      </c>
      <c r="F69">
        <v>0.44</v>
      </c>
      <c r="G69" t="s">
        <v>1027</v>
      </c>
      <c r="H69">
        <v>0</v>
      </c>
    </row>
    <row r="70" spans="1:8" x14ac:dyDescent="0.25">
      <c r="A70" t="s">
        <v>1108</v>
      </c>
      <c r="B70" t="s">
        <v>814</v>
      </c>
      <c r="C70" t="s">
        <v>1025</v>
      </c>
      <c r="D70" t="s">
        <v>1039</v>
      </c>
      <c r="E70">
        <v>36000</v>
      </c>
      <c r="F70">
        <v>0.23</v>
      </c>
      <c r="G70" t="s">
        <v>1027</v>
      </c>
      <c r="H70">
        <v>0</v>
      </c>
    </row>
    <row r="71" spans="1:8" x14ac:dyDescent="0.25">
      <c r="A71" t="s">
        <v>1109</v>
      </c>
      <c r="B71" t="s">
        <v>988</v>
      </c>
      <c r="C71" t="s">
        <v>1055</v>
      </c>
      <c r="D71" t="s">
        <v>1030</v>
      </c>
      <c r="E71">
        <v>91000</v>
      </c>
      <c r="F71">
        <v>0.17</v>
      </c>
      <c r="G71" t="s">
        <v>1027</v>
      </c>
      <c r="H71">
        <v>0</v>
      </c>
    </row>
    <row r="72" spans="1:8" x14ac:dyDescent="0.25">
      <c r="A72" t="s">
        <v>1110</v>
      </c>
      <c r="B72" t="s">
        <v>529</v>
      </c>
      <c r="C72" t="s">
        <v>1025</v>
      </c>
      <c r="D72" t="s">
        <v>1039</v>
      </c>
      <c r="E72">
        <v>58000</v>
      </c>
      <c r="F72">
        <v>0.31</v>
      </c>
      <c r="G72" t="s">
        <v>1027</v>
      </c>
      <c r="H72">
        <v>0</v>
      </c>
    </row>
    <row r="73" spans="1:8" x14ac:dyDescent="0.25">
      <c r="A73" t="s">
        <v>1111</v>
      </c>
      <c r="B73" t="s">
        <v>605</v>
      </c>
      <c r="C73" t="s">
        <v>1041</v>
      </c>
      <c r="D73" t="s">
        <v>1026</v>
      </c>
      <c r="E73">
        <v>75000</v>
      </c>
      <c r="F73">
        <v>0.34</v>
      </c>
      <c r="G73" t="s">
        <v>1027</v>
      </c>
      <c r="H73">
        <v>0</v>
      </c>
    </row>
    <row r="74" spans="1:8" x14ac:dyDescent="0.25">
      <c r="A74" t="s">
        <v>1112</v>
      </c>
      <c r="B74" t="s">
        <v>650</v>
      </c>
      <c r="C74" t="s">
        <v>1034</v>
      </c>
      <c r="D74" t="s">
        <v>1035</v>
      </c>
      <c r="E74">
        <v>46000</v>
      </c>
      <c r="F74">
        <v>0.19</v>
      </c>
      <c r="G74" t="s">
        <v>1027</v>
      </c>
      <c r="H74">
        <v>0</v>
      </c>
    </row>
    <row r="75" spans="1:8" x14ac:dyDescent="0.25">
      <c r="A75" t="s">
        <v>1113</v>
      </c>
      <c r="B75" t="s">
        <v>705</v>
      </c>
      <c r="C75" t="s">
        <v>1055</v>
      </c>
      <c r="D75" t="s">
        <v>1039</v>
      </c>
      <c r="E75">
        <v>33000</v>
      </c>
      <c r="F75">
        <v>0.39</v>
      </c>
      <c r="G75" t="s">
        <v>1027</v>
      </c>
      <c r="H75">
        <v>0</v>
      </c>
    </row>
    <row r="76" spans="1:8" x14ac:dyDescent="0.25">
      <c r="A76" t="s">
        <v>1114</v>
      </c>
      <c r="B76" t="s">
        <v>717</v>
      </c>
      <c r="C76" t="s">
        <v>1065</v>
      </c>
      <c r="D76" t="s">
        <v>1039</v>
      </c>
      <c r="E76">
        <v>13000</v>
      </c>
      <c r="F76">
        <v>0.2</v>
      </c>
      <c r="G76" t="s">
        <v>1036</v>
      </c>
      <c r="H76">
        <v>1</v>
      </c>
    </row>
    <row r="77" spans="1:8" x14ac:dyDescent="0.25">
      <c r="A77" t="s">
        <v>1115</v>
      </c>
      <c r="B77" t="s">
        <v>660</v>
      </c>
      <c r="C77" t="s">
        <v>1025</v>
      </c>
      <c r="D77" t="s">
        <v>1026</v>
      </c>
      <c r="E77">
        <v>13000</v>
      </c>
      <c r="F77">
        <v>0.4</v>
      </c>
      <c r="G77" t="s">
        <v>1027</v>
      </c>
      <c r="H77">
        <v>0</v>
      </c>
    </row>
    <row r="78" spans="1:8" x14ac:dyDescent="0.25">
      <c r="A78" t="s">
        <v>1116</v>
      </c>
      <c r="B78" t="s">
        <v>1008</v>
      </c>
      <c r="C78" t="s">
        <v>1065</v>
      </c>
      <c r="D78" t="s">
        <v>1039</v>
      </c>
      <c r="E78">
        <v>48000</v>
      </c>
      <c r="F78">
        <v>0.4</v>
      </c>
      <c r="G78" t="s">
        <v>1027</v>
      </c>
      <c r="H78">
        <v>0</v>
      </c>
    </row>
    <row r="79" spans="1:8" x14ac:dyDescent="0.25">
      <c r="A79" t="s">
        <v>1117</v>
      </c>
      <c r="B79" t="s">
        <v>911</v>
      </c>
      <c r="C79" t="s">
        <v>1038</v>
      </c>
      <c r="D79" t="s">
        <v>1039</v>
      </c>
      <c r="E79">
        <v>61000</v>
      </c>
      <c r="F79">
        <v>0.4</v>
      </c>
      <c r="G79" t="s">
        <v>1027</v>
      </c>
      <c r="H79">
        <v>0</v>
      </c>
    </row>
    <row r="80" spans="1:8" x14ac:dyDescent="0.25">
      <c r="A80" t="s">
        <v>1118</v>
      </c>
      <c r="B80" t="s">
        <v>1008</v>
      </c>
      <c r="C80" t="s">
        <v>1038</v>
      </c>
      <c r="D80" t="s">
        <v>1039</v>
      </c>
      <c r="E80">
        <v>38000</v>
      </c>
      <c r="F80">
        <v>0.3</v>
      </c>
      <c r="G80" t="s">
        <v>1027</v>
      </c>
      <c r="H80">
        <v>0</v>
      </c>
    </row>
    <row r="81" spans="1:8" x14ac:dyDescent="0.25">
      <c r="A81" t="s">
        <v>1119</v>
      </c>
      <c r="B81" t="s">
        <v>563</v>
      </c>
      <c r="C81" t="s">
        <v>1034</v>
      </c>
      <c r="D81" t="s">
        <v>1030</v>
      </c>
      <c r="E81">
        <v>59000</v>
      </c>
      <c r="F81">
        <v>0.18</v>
      </c>
      <c r="G81" t="s">
        <v>1027</v>
      </c>
      <c r="H81">
        <v>0</v>
      </c>
    </row>
    <row r="82" spans="1:8" x14ac:dyDescent="0.25">
      <c r="A82" t="s">
        <v>1120</v>
      </c>
      <c r="B82" t="s">
        <v>695</v>
      </c>
      <c r="C82" t="s">
        <v>1029</v>
      </c>
      <c r="D82" t="s">
        <v>1039</v>
      </c>
      <c r="E82">
        <v>30000</v>
      </c>
      <c r="F82">
        <v>0.54</v>
      </c>
      <c r="G82" t="s">
        <v>1027</v>
      </c>
      <c r="H82">
        <v>0</v>
      </c>
    </row>
    <row r="83" spans="1:8" x14ac:dyDescent="0.25">
      <c r="A83" t="s">
        <v>1121</v>
      </c>
      <c r="B83" t="s">
        <v>808</v>
      </c>
      <c r="C83" t="s">
        <v>1053</v>
      </c>
      <c r="D83" t="s">
        <v>1035</v>
      </c>
      <c r="E83">
        <v>12000</v>
      </c>
      <c r="F83">
        <v>0.42</v>
      </c>
      <c r="G83" t="s">
        <v>1027</v>
      </c>
      <c r="H83">
        <v>0</v>
      </c>
    </row>
    <row r="84" spans="1:8" x14ac:dyDescent="0.25">
      <c r="A84" t="s">
        <v>1122</v>
      </c>
      <c r="B84" t="s">
        <v>706</v>
      </c>
      <c r="C84" t="s">
        <v>1038</v>
      </c>
      <c r="D84" t="s">
        <v>1039</v>
      </c>
      <c r="E84">
        <v>100000</v>
      </c>
      <c r="F84">
        <v>0.35</v>
      </c>
      <c r="G84" t="s">
        <v>1036</v>
      </c>
      <c r="H84">
        <v>1</v>
      </c>
    </row>
    <row r="85" spans="1:8" x14ac:dyDescent="0.25">
      <c r="A85" t="s">
        <v>1123</v>
      </c>
      <c r="B85" t="s">
        <v>793</v>
      </c>
      <c r="C85" t="s">
        <v>1055</v>
      </c>
      <c r="D85" t="s">
        <v>1026</v>
      </c>
      <c r="E85">
        <v>77000</v>
      </c>
      <c r="F85">
        <v>0.16</v>
      </c>
      <c r="G85" t="s">
        <v>1036</v>
      </c>
      <c r="H85">
        <v>1</v>
      </c>
    </row>
    <row r="86" spans="1:8" x14ac:dyDescent="0.25">
      <c r="A86" t="s">
        <v>1124</v>
      </c>
      <c r="B86" t="s">
        <v>574</v>
      </c>
      <c r="C86" t="s">
        <v>1041</v>
      </c>
      <c r="D86" t="s">
        <v>1030</v>
      </c>
      <c r="E86">
        <v>62000</v>
      </c>
      <c r="F86">
        <v>0.24</v>
      </c>
      <c r="G86" t="s">
        <v>1027</v>
      </c>
      <c r="H86">
        <v>0</v>
      </c>
    </row>
    <row r="87" spans="1:8" x14ac:dyDescent="0.25">
      <c r="A87" t="s">
        <v>1125</v>
      </c>
      <c r="B87" t="s">
        <v>714</v>
      </c>
      <c r="C87" t="s">
        <v>1034</v>
      </c>
      <c r="D87" t="s">
        <v>1026</v>
      </c>
      <c r="E87">
        <v>15000</v>
      </c>
      <c r="F87">
        <v>0.24</v>
      </c>
      <c r="G87" t="s">
        <v>1036</v>
      </c>
      <c r="H87">
        <v>1</v>
      </c>
    </row>
    <row r="88" spans="1:8" x14ac:dyDescent="0.25">
      <c r="A88" t="s">
        <v>1126</v>
      </c>
      <c r="B88" t="s">
        <v>626</v>
      </c>
      <c r="C88" t="s">
        <v>1053</v>
      </c>
      <c r="D88" t="s">
        <v>1026</v>
      </c>
      <c r="E88">
        <v>41000</v>
      </c>
      <c r="F88">
        <v>0.42</v>
      </c>
      <c r="G88" t="s">
        <v>1027</v>
      </c>
      <c r="H88">
        <v>0</v>
      </c>
    </row>
    <row r="89" spans="1:8" x14ac:dyDescent="0.25">
      <c r="A89" t="s">
        <v>1127</v>
      </c>
      <c r="B89" t="s">
        <v>585</v>
      </c>
      <c r="C89" t="s">
        <v>1055</v>
      </c>
      <c r="D89" t="s">
        <v>1030</v>
      </c>
      <c r="E89">
        <v>54000</v>
      </c>
      <c r="F89">
        <v>0.51</v>
      </c>
      <c r="G89" t="s">
        <v>1027</v>
      </c>
      <c r="H89">
        <v>0</v>
      </c>
    </row>
    <row r="90" spans="1:8" x14ac:dyDescent="0.25">
      <c r="A90" t="s">
        <v>1128</v>
      </c>
      <c r="B90" t="s">
        <v>1014</v>
      </c>
      <c r="C90" t="s">
        <v>1038</v>
      </c>
      <c r="D90" t="s">
        <v>1035</v>
      </c>
      <c r="E90">
        <v>26000</v>
      </c>
      <c r="F90">
        <v>0.49</v>
      </c>
      <c r="G90" t="s">
        <v>1027</v>
      </c>
      <c r="H90">
        <v>0</v>
      </c>
    </row>
    <row r="91" spans="1:8" x14ac:dyDescent="0.25">
      <c r="A91" t="s">
        <v>1129</v>
      </c>
      <c r="B91" t="s">
        <v>798</v>
      </c>
      <c r="C91" t="s">
        <v>1055</v>
      </c>
      <c r="D91" t="s">
        <v>1026</v>
      </c>
      <c r="E91">
        <v>64000</v>
      </c>
      <c r="F91">
        <v>0.2</v>
      </c>
      <c r="G91" t="s">
        <v>1027</v>
      </c>
      <c r="H91">
        <v>0</v>
      </c>
    </row>
    <row r="92" spans="1:8" x14ac:dyDescent="0.25">
      <c r="A92" t="s">
        <v>1130</v>
      </c>
      <c r="B92" t="s">
        <v>729</v>
      </c>
      <c r="C92" t="s">
        <v>1029</v>
      </c>
      <c r="D92" t="s">
        <v>1026</v>
      </c>
      <c r="E92">
        <v>76000</v>
      </c>
      <c r="F92">
        <v>0.53</v>
      </c>
      <c r="G92" t="s">
        <v>1036</v>
      </c>
      <c r="H92">
        <v>1</v>
      </c>
    </row>
    <row r="93" spans="1:8" x14ac:dyDescent="0.25">
      <c r="A93" t="s">
        <v>1131</v>
      </c>
      <c r="B93" t="s">
        <v>531</v>
      </c>
      <c r="C93" t="s">
        <v>1041</v>
      </c>
      <c r="D93" t="s">
        <v>1035</v>
      </c>
      <c r="E93">
        <v>42000</v>
      </c>
      <c r="F93">
        <v>0.17</v>
      </c>
      <c r="G93" t="s">
        <v>1036</v>
      </c>
      <c r="H93">
        <v>1</v>
      </c>
    </row>
    <row r="94" spans="1:8" x14ac:dyDescent="0.25">
      <c r="A94" t="s">
        <v>1132</v>
      </c>
      <c r="B94" t="s">
        <v>1003</v>
      </c>
      <c r="C94" t="s">
        <v>1038</v>
      </c>
      <c r="D94" t="s">
        <v>1035</v>
      </c>
      <c r="E94">
        <v>14000</v>
      </c>
      <c r="F94">
        <v>0.26</v>
      </c>
      <c r="G94" t="s">
        <v>1027</v>
      </c>
      <c r="H94">
        <v>0</v>
      </c>
    </row>
    <row r="95" spans="1:8" x14ac:dyDescent="0.25">
      <c r="A95" t="s">
        <v>1133</v>
      </c>
      <c r="B95" t="s">
        <v>876</v>
      </c>
      <c r="C95" t="s">
        <v>1038</v>
      </c>
      <c r="D95" t="s">
        <v>1039</v>
      </c>
      <c r="E95">
        <v>24000</v>
      </c>
      <c r="F95">
        <v>0.45</v>
      </c>
      <c r="G95" t="s">
        <v>1027</v>
      </c>
      <c r="H95">
        <v>0</v>
      </c>
    </row>
    <row r="96" spans="1:8" x14ac:dyDescent="0.25">
      <c r="A96" t="s">
        <v>1134</v>
      </c>
      <c r="B96" t="s">
        <v>614</v>
      </c>
      <c r="C96" t="s">
        <v>1041</v>
      </c>
      <c r="D96" t="s">
        <v>1035</v>
      </c>
      <c r="E96">
        <v>25000</v>
      </c>
      <c r="F96">
        <v>0.33</v>
      </c>
      <c r="G96" t="s">
        <v>1027</v>
      </c>
      <c r="H96">
        <v>0</v>
      </c>
    </row>
    <row r="97" spans="1:8" x14ac:dyDescent="0.25">
      <c r="A97" t="s">
        <v>1135</v>
      </c>
      <c r="B97" t="s">
        <v>764</v>
      </c>
      <c r="C97" t="s">
        <v>1034</v>
      </c>
      <c r="D97" t="s">
        <v>1026</v>
      </c>
      <c r="E97">
        <v>45000</v>
      </c>
      <c r="F97">
        <v>0.53</v>
      </c>
      <c r="G97" t="s">
        <v>1027</v>
      </c>
      <c r="H97">
        <v>0</v>
      </c>
    </row>
    <row r="98" spans="1:8" x14ac:dyDescent="0.25">
      <c r="A98" t="s">
        <v>1136</v>
      </c>
      <c r="B98" t="s">
        <v>660</v>
      </c>
      <c r="C98" t="s">
        <v>1041</v>
      </c>
      <c r="D98" t="s">
        <v>1026</v>
      </c>
      <c r="E98">
        <v>27000</v>
      </c>
      <c r="F98">
        <v>0.32</v>
      </c>
      <c r="G98" t="s">
        <v>1027</v>
      </c>
      <c r="H98">
        <v>0</v>
      </c>
    </row>
    <row r="99" spans="1:8" x14ac:dyDescent="0.25">
      <c r="A99" t="s">
        <v>1137</v>
      </c>
      <c r="B99" t="s">
        <v>922</v>
      </c>
      <c r="C99" t="s">
        <v>1032</v>
      </c>
      <c r="D99" t="s">
        <v>1035</v>
      </c>
      <c r="E99">
        <v>98000</v>
      </c>
      <c r="F99">
        <v>0.24</v>
      </c>
      <c r="G99" t="s">
        <v>1027</v>
      </c>
      <c r="H99">
        <v>0</v>
      </c>
    </row>
    <row r="100" spans="1:8" x14ac:dyDescent="0.25">
      <c r="A100" t="s">
        <v>1138</v>
      </c>
      <c r="B100" t="s">
        <v>670</v>
      </c>
      <c r="C100" t="s">
        <v>1038</v>
      </c>
      <c r="D100" t="s">
        <v>1035</v>
      </c>
      <c r="E100">
        <v>37000</v>
      </c>
      <c r="F100">
        <v>0.26</v>
      </c>
      <c r="G100" t="s">
        <v>1027</v>
      </c>
      <c r="H100">
        <v>0</v>
      </c>
    </row>
    <row r="101" spans="1:8" x14ac:dyDescent="0.25">
      <c r="A101" t="s">
        <v>1139</v>
      </c>
      <c r="B101" t="s">
        <v>994</v>
      </c>
      <c r="C101" t="s">
        <v>1041</v>
      </c>
      <c r="D101" t="s">
        <v>1030</v>
      </c>
      <c r="E101">
        <v>68000</v>
      </c>
      <c r="F101">
        <v>0.37</v>
      </c>
      <c r="G101" t="s">
        <v>1027</v>
      </c>
      <c r="H101">
        <v>0</v>
      </c>
    </row>
    <row r="102" spans="1:8" x14ac:dyDescent="0.25">
      <c r="A102" t="s">
        <v>1140</v>
      </c>
      <c r="B102" t="s">
        <v>691</v>
      </c>
      <c r="C102" t="s">
        <v>1032</v>
      </c>
      <c r="D102" t="s">
        <v>1039</v>
      </c>
      <c r="E102">
        <v>40000</v>
      </c>
      <c r="F102">
        <v>0.34</v>
      </c>
      <c r="G102" t="s">
        <v>1027</v>
      </c>
      <c r="H102">
        <v>0</v>
      </c>
    </row>
    <row r="103" spans="1:8" x14ac:dyDescent="0.25">
      <c r="A103" t="s">
        <v>1141</v>
      </c>
      <c r="B103" t="s">
        <v>876</v>
      </c>
      <c r="C103" t="s">
        <v>1029</v>
      </c>
      <c r="D103" t="s">
        <v>1039</v>
      </c>
      <c r="E103">
        <v>62000</v>
      </c>
      <c r="F103">
        <v>0.46</v>
      </c>
      <c r="G103" t="s">
        <v>1027</v>
      </c>
      <c r="H103">
        <v>0</v>
      </c>
    </row>
    <row r="104" spans="1:8" x14ac:dyDescent="0.25">
      <c r="A104" t="s">
        <v>1142</v>
      </c>
      <c r="B104" t="s">
        <v>695</v>
      </c>
      <c r="C104" t="s">
        <v>1065</v>
      </c>
      <c r="D104" t="s">
        <v>1039</v>
      </c>
      <c r="E104">
        <v>40000</v>
      </c>
      <c r="F104">
        <v>0.19</v>
      </c>
      <c r="G104" t="s">
        <v>1027</v>
      </c>
      <c r="H104">
        <v>0</v>
      </c>
    </row>
    <row r="105" spans="1:8" x14ac:dyDescent="0.25">
      <c r="A105" t="s">
        <v>1143</v>
      </c>
      <c r="B105" t="s">
        <v>784</v>
      </c>
      <c r="C105" t="s">
        <v>1049</v>
      </c>
      <c r="D105" t="s">
        <v>1030</v>
      </c>
      <c r="E105">
        <v>55000</v>
      </c>
      <c r="F105">
        <v>0.46</v>
      </c>
      <c r="G105" t="s">
        <v>1027</v>
      </c>
      <c r="H105">
        <v>0</v>
      </c>
    </row>
    <row r="106" spans="1:8" x14ac:dyDescent="0.25">
      <c r="A106" t="s">
        <v>1144</v>
      </c>
      <c r="B106" t="s">
        <v>792</v>
      </c>
      <c r="C106" t="s">
        <v>1038</v>
      </c>
      <c r="D106" t="s">
        <v>1026</v>
      </c>
      <c r="E106">
        <v>92000</v>
      </c>
      <c r="F106">
        <v>0.2</v>
      </c>
      <c r="G106" t="s">
        <v>1027</v>
      </c>
      <c r="H106">
        <v>0</v>
      </c>
    </row>
    <row r="107" spans="1:8" x14ac:dyDescent="0.25">
      <c r="A107" t="s">
        <v>1145</v>
      </c>
      <c r="B107" t="s">
        <v>892</v>
      </c>
      <c r="C107" t="s">
        <v>1055</v>
      </c>
      <c r="D107" t="s">
        <v>1030</v>
      </c>
      <c r="E107">
        <v>87000</v>
      </c>
      <c r="F107">
        <v>0.37</v>
      </c>
      <c r="G107" t="s">
        <v>1027</v>
      </c>
      <c r="H107">
        <v>0</v>
      </c>
    </row>
    <row r="108" spans="1:8" x14ac:dyDescent="0.25">
      <c r="A108" t="s">
        <v>1146</v>
      </c>
      <c r="B108" t="s">
        <v>895</v>
      </c>
      <c r="C108" t="s">
        <v>1049</v>
      </c>
      <c r="D108" t="s">
        <v>1026</v>
      </c>
      <c r="E108">
        <v>38000</v>
      </c>
      <c r="F108">
        <v>0.16</v>
      </c>
      <c r="G108" t="s">
        <v>1027</v>
      </c>
      <c r="H108">
        <v>0</v>
      </c>
    </row>
    <row r="109" spans="1:8" x14ac:dyDescent="0.25">
      <c r="A109" t="s">
        <v>1147</v>
      </c>
      <c r="B109" t="s">
        <v>789</v>
      </c>
      <c r="C109" t="s">
        <v>1065</v>
      </c>
      <c r="D109" t="s">
        <v>1026</v>
      </c>
      <c r="E109">
        <v>74000</v>
      </c>
      <c r="F109">
        <v>0.18</v>
      </c>
      <c r="G109" t="s">
        <v>1027</v>
      </c>
      <c r="H109">
        <v>0</v>
      </c>
    </row>
    <row r="110" spans="1:8" x14ac:dyDescent="0.25">
      <c r="A110" t="s">
        <v>1148</v>
      </c>
      <c r="B110" t="s">
        <v>575</v>
      </c>
      <c r="C110" t="s">
        <v>1065</v>
      </c>
      <c r="D110" t="s">
        <v>1026</v>
      </c>
      <c r="E110">
        <v>37000</v>
      </c>
      <c r="F110">
        <v>0.24</v>
      </c>
      <c r="G110" t="s">
        <v>1027</v>
      </c>
      <c r="H110">
        <v>0</v>
      </c>
    </row>
    <row r="111" spans="1:8" x14ac:dyDescent="0.25">
      <c r="A111" t="s">
        <v>1149</v>
      </c>
      <c r="B111" t="s">
        <v>874</v>
      </c>
      <c r="C111" t="s">
        <v>1053</v>
      </c>
      <c r="D111" t="s">
        <v>1039</v>
      </c>
      <c r="E111">
        <v>46000</v>
      </c>
      <c r="F111">
        <v>0.52</v>
      </c>
      <c r="G111" t="s">
        <v>1027</v>
      </c>
      <c r="H111">
        <v>0</v>
      </c>
    </row>
    <row r="112" spans="1:8" x14ac:dyDescent="0.25">
      <c r="A112" t="s">
        <v>1150</v>
      </c>
      <c r="B112" t="s">
        <v>910</v>
      </c>
      <c r="C112" t="s">
        <v>1034</v>
      </c>
      <c r="D112" t="s">
        <v>1035</v>
      </c>
      <c r="E112">
        <v>48000</v>
      </c>
      <c r="F112">
        <v>0.5</v>
      </c>
      <c r="G112" t="s">
        <v>1027</v>
      </c>
      <c r="H112">
        <v>0</v>
      </c>
    </row>
    <row r="113" spans="1:8" x14ac:dyDescent="0.25">
      <c r="A113" t="s">
        <v>1151</v>
      </c>
      <c r="B113" t="s">
        <v>880</v>
      </c>
      <c r="C113" t="s">
        <v>1038</v>
      </c>
      <c r="D113" t="s">
        <v>1030</v>
      </c>
      <c r="E113">
        <v>36000</v>
      </c>
      <c r="F113">
        <v>0.31</v>
      </c>
      <c r="G113" t="s">
        <v>1036</v>
      </c>
      <c r="H113">
        <v>1</v>
      </c>
    </row>
    <row r="114" spans="1:8" x14ac:dyDescent="0.25">
      <c r="A114" t="s">
        <v>1152</v>
      </c>
      <c r="B114" t="s">
        <v>968</v>
      </c>
      <c r="C114" t="s">
        <v>1041</v>
      </c>
      <c r="D114" t="s">
        <v>1030</v>
      </c>
      <c r="E114">
        <v>92000</v>
      </c>
      <c r="F114">
        <v>0.53</v>
      </c>
      <c r="G114" t="s">
        <v>1027</v>
      </c>
      <c r="H114">
        <v>0</v>
      </c>
    </row>
    <row r="115" spans="1:8" x14ac:dyDescent="0.25">
      <c r="A115" t="s">
        <v>1153</v>
      </c>
      <c r="B115" t="s">
        <v>734</v>
      </c>
      <c r="C115" t="s">
        <v>1034</v>
      </c>
      <c r="D115" t="s">
        <v>1039</v>
      </c>
      <c r="E115">
        <v>50000</v>
      </c>
      <c r="F115">
        <v>0.21</v>
      </c>
      <c r="G115" t="s">
        <v>1027</v>
      </c>
      <c r="H115">
        <v>0</v>
      </c>
    </row>
    <row r="116" spans="1:8" x14ac:dyDescent="0.25">
      <c r="A116" t="s">
        <v>1154</v>
      </c>
      <c r="B116" t="s">
        <v>919</v>
      </c>
      <c r="C116" t="s">
        <v>1025</v>
      </c>
      <c r="D116" t="s">
        <v>1026</v>
      </c>
      <c r="E116">
        <v>28000</v>
      </c>
      <c r="F116">
        <v>0.27</v>
      </c>
      <c r="G116" t="s">
        <v>1027</v>
      </c>
      <c r="H116">
        <v>0</v>
      </c>
    </row>
    <row r="117" spans="1:8" x14ac:dyDescent="0.25">
      <c r="A117" t="s">
        <v>1155</v>
      </c>
      <c r="B117" t="s">
        <v>665</v>
      </c>
      <c r="C117" t="s">
        <v>1065</v>
      </c>
      <c r="D117" t="s">
        <v>1039</v>
      </c>
      <c r="E117">
        <v>92000</v>
      </c>
      <c r="F117">
        <v>0.55000000000000004</v>
      </c>
      <c r="G117" t="s">
        <v>1036</v>
      </c>
      <c r="H117">
        <v>1</v>
      </c>
    </row>
    <row r="118" spans="1:8" x14ac:dyDescent="0.25">
      <c r="A118" t="s">
        <v>1156</v>
      </c>
      <c r="B118" t="s">
        <v>943</v>
      </c>
      <c r="C118" t="s">
        <v>1029</v>
      </c>
      <c r="D118" t="s">
        <v>1030</v>
      </c>
      <c r="E118">
        <v>57000</v>
      </c>
      <c r="F118">
        <v>0.35</v>
      </c>
      <c r="G118" t="s">
        <v>1027</v>
      </c>
      <c r="H118">
        <v>0</v>
      </c>
    </row>
    <row r="119" spans="1:8" x14ac:dyDescent="0.25">
      <c r="A119" t="s">
        <v>1157</v>
      </c>
      <c r="B119" t="s">
        <v>669</v>
      </c>
      <c r="C119" t="s">
        <v>1034</v>
      </c>
      <c r="D119" t="s">
        <v>1030</v>
      </c>
      <c r="E119">
        <v>54000</v>
      </c>
      <c r="F119">
        <v>0.25</v>
      </c>
      <c r="G119" t="s">
        <v>1027</v>
      </c>
      <c r="H119">
        <v>0</v>
      </c>
    </row>
    <row r="120" spans="1:8" x14ac:dyDescent="0.25">
      <c r="A120" t="s">
        <v>1158</v>
      </c>
      <c r="B120" t="s">
        <v>951</v>
      </c>
      <c r="C120" t="s">
        <v>1025</v>
      </c>
      <c r="D120" t="s">
        <v>1035</v>
      </c>
      <c r="E120">
        <v>78000</v>
      </c>
      <c r="F120">
        <v>0.53</v>
      </c>
      <c r="G120" t="s">
        <v>1027</v>
      </c>
      <c r="H120">
        <v>0</v>
      </c>
    </row>
    <row r="121" spans="1:8" x14ac:dyDescent="0.25">
      <c r="A121" t="s">
        <v>1159</v>
      </c>
      <c r="B121" t="s">
        <v>913</v>
      </c>
      <c r="C121" t="s">
        <v>1034</v>
      </c>
      <c r="D121" t="s">
        <v>1030</v>
      </c>
      <c r="E121">
        <v>55000</v>
      </c>
      <c r="F121">
        <v>0.4</v>
      </c>
      <c r="G121" t="s">
        <v>1027</v>
      </c>
      <c r="H121">
        <v>0</v>
      </c>
    </row>
    <row r="122" spans="1:8" x14ac:dyDescent="0.25">
      <c r="A122" t="s">
        <v>1160</v>
      </c>
      <c r="B122" t="s">
        <v>798</v>
      </c>
      <c r="C122" t="s">
        <v>1029</v>
      </c>
      <c r="D122" t="s">
        <v>1026</v>
      </c>
      <c r="E122">
        <v>33000</v>
      </c>
      <c r="F122">
        <v>0.24</v>
      </c>
      <c r="G122" t="s">
        <v>1036</v>
      </c>
      <c r="H122">
        <v>1</v>
      </c>
    </row>
    <row r="123" spans="1:8" x14ac:dyDescent="0.25">
      <c r="A123" t="s">
        <v>1161</v>
      </c>
      <c r="B123" t="s">
        <v>608</v>
      </c>
      <c r="C123" t="s">
        <v>1053</v>
      </c>
      <c r="D123" t="s">
        <v>1035</v>
      </c>
      <c r="E123">
        <v>73000</v>
      </c>
      <c r="F123">
        <v>0.25</v>
      </c>
      <c r="G123" t="s">
        <v>1027</v>
      </c>
      <c r="H123">
        <v>0</v>
      </c>
    </row>
    <row r="124" spans="1:8" x14ac:dyDescent="0.25">
      <c r="A124" t="s">
        <v>1162</v>
      </c>
      <c r="B124" t="s">
        <v>819</v>
      </c>
      <c r="C124" t="s">
        <v>1053</v>
      </c>
      <c r="D124" t="s">
        <v>1035</v>
      </c>
      <c r="E124">
        <v>75000</v>
      </c>
      <c r="F124">
        <v>0.46</v>
      </c>
      <c r="G124" t="s">
        <v>1027</v>
      </c>
      <c r="H124">
        <v>0</v>
      </c>
    </row>
    <row r="125" spans="1:8" x14ac:dyDescent="0.25">
      <c r="A125" t="s">
        <v>1163</v>
      </c>
      <c r="B125" t="s">
        <v>574</v>
      </c>
      <c r="C125" t="s">
        <v>1049</v>
      </c>
      <c r="D125" t="s">
        <v>1026</v>
      </c>
      <c r="E125">
        <v>57000</v>
      </c>
      <c r="F125">
        <v>0.35</v>
      </c>
      <c r="G125" t="s">
        <v>1027</v>
      </c>
      <c r="H125">
        <v>0</v>
      </c>
    </row>
    <row r="126" spans="1:8" x14ac:dyDescent="0.25">
      <c r="A126" t="s">
        <v>1164</v>
      </c>
      <c r="B126" t="s">
        <v>657</v>
      </c>
      <c r="C126" t="s">
        <v>1038</v>
      </c>
      <c r="D126" t="s">
        <v>1030</v>
      </c>
      <c r="E126">
        <v>59000</v>
      </c>
      <c r="F126">
        <v>0.26</v>
      </c>
      <c r="G126" t="s">
        <v>1027</v>
      </c>
      <c r="H126">
        <v>0</v>
      </c>
    </row>
    <row r="127" spans="1:8" x14ac:dyDescent="0.25">
      <c r="A127" t="s">
        <v>1165</v>
      </c>
      <c r="B127" t="s">
        <v>979</v>
      </c>
      <c r="C127" t="s">
        <v>1065</v>
      </c>
      <c r="D127" t="s">
        <v>1030</v>
      </c>
      <c r="E127">
        <v>41000</v>
      </c>
      <c r="F127">
        <v>0.31</v>
      </c>
      <c r="G127" t="s">
        <v>1027</v>
      </c>
      <c r="H127">
        <v>0</v>
      </c>
    </row>
    <row r="128" spans="1:8" x14ac:dyDescent="0.25">
      <c r="A128" t="s">
        <v>1166</v>
      </c>
      <c r="B128" t="s">
        <v>648</v>
      </c>
      <c r="C128" t="s">
        <v>1032</v>
      </c>
      <c r="D128" t="s">
        <v>1039</v>
      </c>
      <c r="E128">
        <v>91000</v>
      </c>
      <c r="F128">
        <v>0.44</v>
      </c>
      <c r="G128" t="s">
        <v>1027</v>
      </c>
      <c r="H128">
        <v>0</v>
      </c>
    </row>
    <row r="129" spans="1:8" x14ac:dyDescent="0.25">
      <c r="A129" t="s">
        <v>1167</v>
      </c>
      <c r="B129" t="s">
        <v>807</v>
      </c>
      <c r="C129" t="s">
        <v>1065</v>
      </c>
      <c r="D129" t="s">
        <v>1039</v>
      </c>
      <c r="E129">
        <v>41000</v>
      </c>
      <c r="F129">
        <v>0.32</v>
      </c>
      <c r="G129" t="s">
        <v>1036</v>
      </c>
      <c r="H129">
        <v>1</v>
      </c>
    </row>
    <row r="130" spans="1:8" x14ac:dyDescent="0.25">
      <c r="A130" t="s">
        <v>1168</v>
      </c>
      <c r="B130" t="s">
        <v>834</v>
      </c>
      <c r="C130" t="s">
        <v>1029</v>
      </c>
      <c r="D130" t="s">
        <v>1039</v>
      </c>
      <c r="E130">
        <v>11000</v>
      </c>
      <c r="F130">
        <v>0.3</v>
      </c>
      <c r="G130" t="s">
        <v>1027</v>
      </c>
      <c r="H130">
        <v>0</v>
      </c>
    </row>
    <row r="131" spans="1:8" x14ac:dyDescent="0.25">
      <c r="A131" t="s">
        <v>1169</v>
      </c>
      <c r="B131" t="s">
        <v>618</v>
      </c>
      <c r="C131" t="s">
        <v>1065</v>
      </c>
      <c r="D131" t="s">
        <v>1030</v>
      </c>
      <c r="E131">
        <v>99000</v>
      </c>
      <c r="F131">
        <v>0.38</v>
      </c>
      <c r="G131" t="s">
        <v>1036</v>
      </c>
      <c r="H131">
        <v>1</v>
      </c>
    </row>
    <row r="132" spans="1:8" x14ac:dyDescent="0.25">
      <c r="A132" t="s">
        <v>1170</v>
      </c>
      <c r="B132" t="s">
        <v>540</v>
      </c>
      <c r="C132" t="s">
        <v>1034</v>
      </c>
      <c r="D132" t="s">
        <v>1026</v>
      </c>
      <c r="E132">
        <v>11000</v>
      </c>
      <c r="F132">
        <v>0.35</v>
      </c>
      <c r="G132" t="s">
        <v>1027</v>
      </c>
      <c r="H132">
        <v>0</v>
      </c>
    </row>
    <row r="133" spans="1:8" x14ac:dyDescent="0.25">
      <c r="A133" t="s">
        <v>1171</v>
      </c>
      <c r="B133" t="s">
        <v>761</v>
      </c>
      <c r="C133" t="s">
        <v>1032</v>
      </c>
      <c r="D133" t="s">
        <v>1026</v>
      </c>
      <c r="E133">
        <v>71000</v>
      </c>
      <c r="F133">
        <v>0.42</v>
      </c>
      <c r="G133" t="s">
        <v>1027</v>
      </c>
      <c r="H133">
        <v>0</v>
      </c>
    </row>
    <row r="134" spans="1:8" x14ac:dyDescent="0.25">
      <c r="A134" t="s">
        <v>1172</v>
      </c>
      <c r="B134" t="s">
        <v>654</v>
      </c>
      <c r="C134" t="s">
        <v>1034</v>
      </c>
      <c r="D134" t="s">
        <v>1035</v>
      </c>
      <c r="E134">
        <v>87000</v>
      </c>
      <c r="F134">
        <v>0.45</v>
      </c>
      <c r="G134" t="s">
        <v>1027</v>
      </c>
      <c r="H134">
        <v>0</v>
      </c>
    </row>
    <row r="135" spans="1:8" x14ac:dyDescent="0.25">
      <c r="A135" t="s">
        <v>1173</v>
      </c>
      <c r="B135" t="s">
        <v>654</v>
      </c>
      <c r="C135" t="s">
        <v>1065</v>
      </c>
      <c r="D135" t="s">
        <v>1035</v>
      </c>
      <c r="E135">
        <v>72000</v>
      </c>
      <c r="F135">
        <v>0.47</v>
      </c>
      <c r="G135" t="s">
        <v>1027</v>
      </c>
      <c r="H135">
        <v>0</v>
      </c>
    </row>
    <row r="136" spans="1:8" x14ac:dyDescent="0.25">
      <c r="A136" t="s">
        <v>1174</v>
      </c>
      <c r="B136" t="s">
        <v>597</v>
      </c>
      <c r="C136" t="s">
        <v>1053</v>
      </c>
      <c r="D136" t="s">
        <v>1039</v>
      </c>
      <c r="E136">
        <v>73000</v>
      </c>
      <c r="F136">
        <v>0.2</v>
      </c>
      <c r="G136" t="s">
        <v>1027</v>
      </c>
      <c r="H136">
        <v>0</v>
      </c>
    </row>
    <row r="137" spans="1:8" x14ac:dyDescent="0.25">
      <c r="A137" t="s">
        <v>1175</v>
      </c>
      <c r="B137" t="s">
        <v>633</v>
      </c>
      <c r="C137" t="s">
        <v>1034</v>
      </c>
      <c r="D137" t="s">
        <v>1026</v>
      </c>
      <c r="E137">
        <v>20000</v>
      </c>
      <c r="F137">
        <v>0.53</v>
      </c>
      <c r="G137" t="s">
        <v>1036</v>
      </c>
      <c r="H137">
        <v>1</v>
      </c>
    </row>
    <row r="138" spans="1:8" x14ac:dyDescent="0.25">
      <c r="A138" t="s">
        <v>1176</v>
      </c>
      <c r="B138" t="s">
        <v>668</v>
      </c>
      <c r="C138" t="s">
        <v>1032</v>
      </c>
      <c r="D138" t="s">
        <v>1035</v>
      </c>
      <c r="E138">
        <v>40000</v>
      </c>
      <c r="F138">
        <v>0.21</v>
      </c>
      <c r="G138" t="s">
        <v>1027</v>
      </c>
      <c r="H138">
        <v>0</v>
      </c>
    </row>
    <row r="139" spans="1:8" x14ac:dyDescent="0.25">
      <c r="A139" t="s">
        <v>1177</v>
      </c>
      <c r="B139" t="s">
        <v>984</v>
      </c>
      <c r="C139" t="s">
        <v>1034</v>
      </c>
      <c r="D139" t="s">
        <v>1035</v>
      </c>
      <c r="E139">
        <v>19000</v>
      </c>
      <c r="F139">
        <v>0.43</v>
      </c>
      <c r="G139" t="s">
        <v>1027</v>
      </c>
      <c r="H139">
        <v>0</v>
      </c>
    </row>
    <row r="140" spans="1:8" x14ac:dyDescent="0.25">
      <c r="A140" t="s">
        <v>1178</v>
      </c>
      <c r="B140" t="s">
        <v>712</v>
      </c>
      <c r="C140" t="s">
        <v>1055</v>
      </c>
      <c r="D140" t="s">
        <v>1026</v>
      </c>
      <c r="E140">
        <v>47000</v>
      </c>
      <c r="F140">
        <v>0.19</v>
      </c>
      <c r="G140" t="s">
        <v>1036</v>
      </c>
      <c r="H140">
        <v>1</v>
      </c>
    </row>
    <row r="141" spans="1:8" x14ac:dyDescent="0.25">
      <c r="A141" t="s">
        <v>1179</v>
      </c>
      <c r="B141" t="s">
        <v>944</v>
      </c>
      <c r="C141" t="s">
        <v>1025</v>
      </c>
      <c r="D141" t="s">
        <v>1026</v>
      </c>
      <c r="E141">
        <v>37000</v>
      </c>
      <c r="F141">
        <v>0.45</v>
      </c>
      <c r="G141" t="s">
        <v>1036</v>
      </c>
      <c r="H141">
        <v>1</v>
      </c>
    </row>
    <row r="142" spans="1:8" x14ac:dyDescent="0.25">
      <c r="A142" t="s">
        <v>1180</v>
      </c>
      <c r="B142" t="s">
        <v>949</v>
      </c>
      <c r="C142" t="s">
        <v>1053</v>
      </c>
      <c r="D142" t="s">
        <v>1035</v>
      </c>
      <c r="E142">
        <v>44000</v>
      </c>
      <c r="F142">
        <v>0.16</v>
      </c>
      <c r="G142" t="s">
        <v>1027</v>
      </c>
      <c r="H142">
        <v>0</v>
      </c>
    </row>
    <row r="143" spans="1:8" x14ac:dyDescent="0.25">
      <c r="A143" t="s">
        <v>1181</v>
      </c>
      <c r="B143" t="s">
        <v>746</v>
      </c>
      <c r="C143" t="s">
        <v>1053</v>
      </c>
      <c r="D143" t="s">
        <v>1030</v>
      </c>
      <c r="E143">
        <v>99000</v>
      </c>
      <c r="F143">
        <v>0.28000000000000003</v>
      </c>
      <c r="G143" t="s">
        <v>1036</v>
      </c>
      <c r="H143">
        <v>1</v>
      </c>
    </row>
    <row r="144" spans="1:8" x14ac:dyDescent="0.25">
      <c r="A144" t="s">
        <v>1182</v>
      </c>
      <c r="B144" t="s">
        <v>804</v>
      </c>
      <c r="C144" t="s">
        <v>1034</v>
      </c>
      <c r="D144" t="s">
        <v>1026</v>
      </c>
      <c r="E144">
        <v>48000</v>
      </c>
      <c r="F144">
        <v>0.3</v>
      </c>
      <c r="G144" t="s">
        <v>1027</v>
      </c>
      <c r="H144">
        <v>0</v>
      </c>
    </row>
    <row r="145" spans="1:8" x14ac:dyDescent="0.25">
      <c r="A145" t="s">
        <v>1183</v>
      </c>
      <c r="B145" t="s">
        <v>633</v>
      </c>
      <c r="C145" t="s">
        <v>1025</v>
      </c>
      <c r="D145" t="s">
        <v>1026</v>
      </c>
      <c r="E145">
        <v>96000</v>
      </c>
      <c r="F145">
        <v>0.52</v>
      </c>
      <c r="G145" t="s">
        <v>1036</v>
      </c>
      <c r="H145">
        <v>1</v>
      </c>
    </row>
    <row r="146" spans="1:8" x14ac:dyDescent="0.25">
      <c r="A146" t="s">
        <v>1184</v>
      </c>
      <c r="B146" t="s">
        <v>654</v>
      </c>
      <c r="C146" t="s">
        <v>1053</v>
      </c>
      <c r="D146" t="s">
        <v>1030</v>
      </c>
      <c r="E146">
        <v>60000</v>
      </c>
      <c r="F146">
        <v>0.15</v>
      </c>
      <c r="G146" t="s">
        <v>1027</v>
      </c>
      <c r="H146">
        <v>0</v>
      </c>
    </row>
    <row r="147" spans="1:8" x14ac:dyDescent="0.25">
      <c r="A147" t="s">
        <v>1185</v>
      </c>
      <c r="B147" t="s">
        <v>619</v>
      </c>
      <c r="C147" t="s">
        <v>1029</v>
      </c>
      <c r="D147" t="s">
        <v>1030</v>
      </c>
      <c r="E147">
        <v>53000</v>
      </c>
      <c r="F147">
        <v>0.55000000000000004</v>
      </c>
      <c r="G147" t="s">
        <v>1027</v>
      </c>
      <c r="H147">
        <v>0</v>
      </c>
    </row>
    <row r="148" spans="1:8" x14ac:dyDescent="0.25">
      <c r="A148" t="s">
        <v>1186</v>
      </c>
      <c r="B148" t="s">
        <v>951</v>
      </c>
      <c r="C148" t="s">
        <v>1025</v>
      </c>
      <c r="D148" t="s">
        <v>1030</v>
      </c>
      <c r="E148">
        <v>77000</v>
      </c>
      <c r="F148">
        <v>0.55000000000000004</v>
      </c>
      <c r="G148" t="s">
        <v>1027</v>
      </c>
      <c r="H148">
        <v>0</v>
      </c>
    </row>
    <row r="149" spans="1:8" x14ac:dyDescent="0.25">
      <c r="A149" t="s">
        <v>1187</v>
      </c>
      <c r="B149" t="s">
        <v>545</v>
      </c>
      <c r="C149" t="s">
        <v>1065</v>
      </c>
      <c r="D149" t="s">
        <v>1030</v>
      </c>
      <c r="E149">
        <v>42000</v>
      </c>
      <c r="F149">
        <v>0.39</v>
      </c>
      <c r="G149" t="s">
        <v>1027</v>
      </c>
      <c r="H149">
        <v>0</v>
      </c>
    </row>
    <row r="150" spans="1:8" x14ac:dyDescent="0.25">
      <c r="A150" t="s">
        <v>1188</v>
      </c>
      <c r="B150" t="s">
        <v>788</v>
      </c>
      <c r="C150" t="s">
        <v>1034</v>
      </c>
      <c r="D150" t="s">
        <v>1030</v>
      </c>
      <c r="E150">
        <v>93000</v>
      </c>
      <c r="F150">
        <v>0.17</v>
      </c>
      <c r="G150" t="s">
        <v>1036</v>
      </c>
      <c r="H150">
        <v>1</v>
      </c>
    </row>
    <row r="151" spans="1:8" x14ac:dyDescent="0.25">
      <c r="A151" t="s">
        <v>1189</v>
      </c>
      <c r="B151" t="s">
        <v>990</v>
      </c>
      <c r="C151" t="s">
        <v>1065</v>
      </c>
      <c r="D151" t="s">
        <v>1039</v>
      </c>
      <c r="E151">
        <v>34000</v>
      </c>
      <c r="F151">
        <v>0.42</v>
      </c>
      <c r="G151" t="s">
        <v>1027</v>
      </c>
      <c r="H151">
        <v>0</v>
      </c>
    </row>
    <row r="152" spans="1:8" x14ac:dyDescent="0.25">
      <c r="A152" t="s">
        <v>1190</v>
      </c>
      <c r="B152" t="s">
        <v>569</v>
      </c>
      <c r="C152" t="s">
        <v>1049</v>
      </c>
      <c r="D152" t="s">
        <v>1026</v>
      </c>
      <c r="E152">
        <v>37000</v>
      </c>
      <c r="F152">
        <v>0.33</v>
      </c>
      <c r="G152" t="s">
        <v>1027</v>
      </c>
      <c r="H152">
        <v>0</v>
      </c>
    </row>
    <row r="153" spans="1:8" x14ac:dyDescent="0.25">
      <c r="A153" t="s">
        <v>1191</v>
      </c>
      <c r="B153" t="s">
        <v>1017</v>
      </c>
      <c r="C153" t="s">
        <v>1032</v>
      </c>
      <c r="D153" t="s">
        <v>1030</v>
      </c>
      <c r="E153">
        <v>76000</v>
      </c>
      <c r="F153">
        <v>0.22</v>
      </c>
      <c r="G153" t="s">
        <v>1027</v>
      </c>
      <c r="H153">
        <v>0</v>
      </c>
    </row>
    <row r="154" spans="1:8" x14ac:dyDescent="0.25">
      <c r="A154" t="s">
        <v>1192</v>
      </c>
      <c r="B154" t="s">
        <v>875</v>
      </c>
      <c r="C154" t="s">
        <v>1041</v>
      </c>
      <c r="D154" t="s">
        <v>1039</v>
      </c>
      <c r="E154">
        <v>55000</v>
      </c>
      <c r="F154">
        <v>0.31</v>
      </c>
      <c r="G154" t="s">
        <v>1036</v>
      </c>
      <c r="H154">
        <v>1</v>
      </c>
    </row>
    <row r="155" spans="1:8" x14ac:dyDescent="0.25">
      <c r="A155" t="s">
        <v>1193</v>
      </c>
      <c r="B155" t="s">
        <v>812</v>
      </c>
      <c r="C155" t="s">
        <v>1034</v>
      </c>
      <c r="D155" t="s">
        <v>1026</v>
      </c>
      <c r="E155">
        <v>67000</v>
      </c>
      <c r="F155">
        <v>0.31</v>
      </c>
      <c r="G155" t="s">
        <v>1036</v>
      </c>
      <c r="H155">
        <v>1</v>
      </c>
    </row>
    <row r="156" spans="1:8" x14ac:dyDescent="0.25">
      <c r="A156" t="s">
        <v>1194</v>
      </c>
      <c r="B156" t="s">
        <v>635</v>
      </c>
      <c r="C156" t="s">
        <v>1055</v>
      </c>
      <c r="D156" t="s">
        <v>1030</v>
      </c>
      <c r="E156">
        <v>38000</v>
      </c>
      <c r="F156">
        <v>0.45</v>
      </c>
      <c r="G156" t="s">
        <v>1027</v>
      </c>
      <c r="H156">
        <v>0</v>
      </c>
    </row>
    <row r="157" spans="1:8" x14ac:dyDescent="0.25">
      <c r="A157" t="s">
        <v>1195</v>
      </c>
      <c r="B157" t="s">
        <v>823</v>
      </c>
      <c r="C157" t="s">
        <v>1029</v>
      </c>
      <c r="D157" t="s">
        <v>1026</v>
      </c>
      <c r="E157">
        <v>80000</v>
      </c>
      <c r="F157">
        <v>0.5</v>
      </c>
      <c r="G157" t="s">
        <v>1027</v>
      </c>
      <c r="H157">
        <v>0</v>
      </c>
    </row>
    <row r="158" spans="1:8" x14ac:dyDescent="0.25">
      <c r="A158" t="s">
        <v>1196</v>
      </c>
      <c r="B158" t="s">
        <v>821</v>
      </c>
      <c r="C158" t="s">
        <v>1034</v>
      </c>
      <c r="D158" t="s">
        <v>1026</v>
      </c>
      <c r="E158">
        <v>10000</v>
      </c>
      <c r="F158">
        <v>0.46</v>
      </c>
      <c r="G158" t="s">
        <v>1027</v>
      </c>
      <c r="H158">
        <v>0</v>
      </c>
    </row>
    <row r="159" spans="1:8" x14ac:dyDescent="0.25">
      <c r="A159" t="s">
        <v>1197</v>
      </c>
      <c r="B159" t="s">
        <v>768</v>
      </c>
      <c r="C159" t="s">
        <v>1034</v>
      </c>
      <c r="D159" t="s">
        <v>1026</v>
      </c>
      <c r="E159">
        <v>76000</v>
      </c>
      <c r="F159">
        <v>0.5</v>
      </c>
      <c r="G159" t="s">
        <v>1036</v>
      </c>
      <c r="H159">
        <v>1</v>
      </c>
    </row>
    <row r="160" spans="1:8" x14ac:dyDescent="0.25">
      <c r="A160" t="s">
        <v>1198</v>
      </c>
      <c r="B160" t="s">
        <v>925</v>
      </c>
      <c r="C160" t="s">
        <v>1025</v>
      </c>
      <c r="D160" t="s">
        <v>1026</v>
      </c>
      <c r="E160">
        <v>84000</v>
      </c>
      <c r="F160">
        <v>0.53</v>
      </c>
      <c r="G160" t="s">
        <v>1027</v>
      </c>
      <c r="H160">
        <v>0</v>
      </c>
    </row>
    <row r="161" spans="1:8" x14ac:dyDescent="0.25">
      <c r="A161" t="s">
        <v>1199</v>
      </c>
      <c r="B161" t="s">
        <v>899</v>
      </c>
      <c r="C161" t="s">
        <v>1055</v>
      </c>
      <c r="D161" t="s">
        <v>1039</v>
      </c>
      <c r="E161">
        <v>96000</v>
      </c>
      <c r="F161">
        <v>0.39</v>
      </c>
      <c r="G161" t="s">
        <v>1027</v>
      </c>
      <c r="H161">
        <v>0</v>
      </c>
    </row>
    <row r="162" spans="1:8" x14ac:dyDescent="0.25">
      <c r="A162" t="s">
        <v>1200</v>
      </c>
      <c r="B162" t="s">
        <v>532</v>
      </c>
      <c r="C162" t="s">
        <v>1025</v>
      </c>
      <c r="D162" t="s">
        <v>1039</v>
      </c>
      <c r="E162">
        <v>39000</v>
      </c>
      <c r="F162">
        <v>0.22</v>
      </c>
      <c r="G162" t="s">
        <v>1027</v>
      </c>
      <c r="H162">
        <v>0</v>
      </c>
    </row>
    <row r="163" spans="1:8" x14ac:dyDescent="0.25">
      <c r="A163" t="s">
        <v>1201</v>
      </c>
      <c r="B163" t="s">
        <v>853</v>
      </c>
      <c r="C163" t="s">
        <v>1034</v>
      </c>
      <c r="D163" t="s">
        <v>1026</v>
      </c>
      <c r="E163">
        <v>78000</v>
      </c>
      <c r="F163">
        <v>0.23</v>
      </c>
      <c r="G163" t="s">
        <v>1027</v>
      </c>
      <c r="H163">
        <v>0</v>
      </c>
    </row>
    <row r="164" spans="1:8" x14ac:dyDescent="0.25">
      <c r="A164" t="s">
        <v>1202</v>
      </c>
      <c r="B164" t="s">
        <v>939</v>
      </c>
      <c r="C164" t="s">
        <v>1025</v>
      </c>
      <c r="D164" t="s">
        <v>1030</v>
      </c>
      <c r="E164">
        <v>46000</v>
      </c>
      <c r="F164">
        <v>0.43</v>
      </c>
      <c r="G164" t="s">
        <v>1027</v>
      </c>
      <c r="H164">
        <v>0</v>
      </c>
    </row>
    <row r="165" spans="1:8" x14ac:dyDescent="0.25">
      <c r="A165" t="s">
        <v>1203</v>
      </c>
      <c r="B165" t="s">
        <v>818</v>
      </c>
      <c r="C165" t="s">
        <v>1032</v>
      </c>
      <c r="D165" t="s">
        <v>1030</v>
      </c>
      <c r="E165">
        <v>47000</v>
      </c>
      <c r="F165">
        <v>0.49</v>
      </c>
      <c r="G165" t="s">
        <v>1027</v>
      </c>
      <c r="H165">
        <v>0</v>
      </c>
    </row>
    <row r="166" spans="1:8" x14ac:dyDescent="0.25">
      <c r="A166" t="s">
        <v>1204</v>
      </c>
      <c r="B166" t="s">
        <v>881</v>
      </c>
      <c r="C166" t="s">
        <v>1041</v>
      </c>
      <c r="D166" t="s">
        <v>1026</v>
      </c>
      <c r="E166">
        <v>87000</v>
      </c>
      <c r="F166">
        <v>0.45</v>
      </c>
      <c r="G166" t="s">
        <v>1036</v>
      </c>
      <c r="H166">
        <v>1</v>
      </c>
    </row>
    <row r="167" spans="1:8" x14ac:dyDescent="0.25">
      <c r="A167" t="s">
        <v>1205</v>
      </c>
      <c r="B167" t="s">
        <v>868</v>
      </c>
      <c r="C167" t="s">
        <v>1049</v>
      </c>
      <c r="D167" t="s">
        <v>1035</v>
      </c>
      <c r="E167">
        <v>43000</v>
      </c>
      <c r="F167">
        <v>0.26</v>
      </c>
      <c r="G167" t="s">
        <v>1027</v>
      </c>
      <c r="H167">
        <v>0</v>
      </c>
    </row>
    <row r="168" spans="1:8" x14ac:dyDescent="0.25">
      <c r="A168" t="s">
        <v>1206</v>
      </c>
      <c r="B168" t="s">
        <v>1207</v>
      </c>
      <c r="C168" t="s">
        <v>1029</v>
      </c>
      <c r="D168" t="s">
        <v>1030</v>
      </c>
      <c r="E168">
        <v>72000</v>
      </c>
      <c r="F168">
        <v>0.51</v>
      </c>
      <c r="G168" t="s">
        <v>1027</v>
      </c>
      <c r="H168">
        <v>0</v>
      </c>
    </row>
    <row r="169" spans="1:8" x14ac:dyDescent="0.25">
      <c r="A169" t="s">
        <v>1208</v>
      </c>
      <c r="B169" t="s">
        <v>803</v>
      </c>
      <c r="C169" t="s">
        <v>1049</v>
      </c>
      <c r="D169" t="s">
        <v>1039</v>
      </c>
      <c r="E169">
        <v>51000</v>
      </c>
      <c r="F169">
        <v>0.25</v>
      </c>
      <c r="G169" t="s">
        <v>1027</v>
      </c>
      <c r="H169">
        <v>0</v>
      </c>
    </row>
    <row r="170" spans="1:8" x14ac:dyDescent="0.25">
      <c r="A170" t="s">
        <v>1209</v>
      </c>
      <c r="B170" t="s">
        <v>723</v>
      </c>
      <c r="C170" t="s">
        <v>1041</v>
      </c>
      <c r="D170" t="s">
        <v>1039</v>
      </c>
      <c r="E170">
        <v>61000</v>
      </c>
      <c r="F170">
        <v>0.24</v>
      </c>
      <c r="G170" t="s">
        <v>1027</v>
      </c>
      <c r="H170">
        <v>0</v>
      </c>
    </row>
    <row r="171" spans="1:8" x14ac:dyDescent="0.25">
      <c r="A171" t="s">
        <v>1210</v>
      </c>
      <c r="B171" t="s">
        <v>623</v>
      </c>
      <c r="C171" t="s">
        <v>1053</v>
      </c>
      <c r="D171" t="s">
        <v>1030</v>
      </c>
      <c r="E171">
        <v>61000</v>
      </c>
      <c r="F171">
        <v>0.47</v>
      </c>
      <c r="G171" t="s">
        <v>1027</v>
      </c>
      <c r="H171">
        <v>0</v>
      </c>
    </row>
    <row r="172" spans="1:8" x14ac:dyDescent="0.25">
      <c r="A172" t="s">
        <v>1211</v>
      </c>
      <c r="B172" t="s">
        <v>573</v>
      </c>
      <c r="C172" t="s">
        <v>1041</v>
      </c>
      <c r="D172" t="s">
        <v>1039</v>
      </c>
      <c r="E172">
        <v>34000</v>
      </c>
      <c r="F172">
        <v>0.15</v>
      </c>
      <c r="G172" t="s">
        <v>1027</v>
      </c>
      <c r="H172">
        <v>0</v>
      </c>
    </row>
    <row r="173" spans="1:8" x14ac:dyDescent="0.25">
      <c r="A173" t="s">
        <v>1212</v>
      </c>
      <c r="B173" t="s">
        <v>913</v>
      </c>
      <c r="C173" t="s">
        <v>1065</v>
      </c>
      <c r="D173" t="s">
        <v>1035</v>
      </c>
      <c r="E173">
        <v>99000</v>
      </c>
      <c r="F173">
        <v>0.45</v>
      </c>
      <c r="G173" t="s">
        <v>1027</v>
      </c>
      <c r="H173">
        <v>0</v>
      </c>
    </row>
    <row r="174" spans="1:8" x14ac:dyDescent="0.25">
      <c r="A174" t="s">
        <v>1213</v>
      </c>
      <c r="B174" t="s">
        <v>588</v>
      </c>
      <c r="C174" t="s">
        <v>1065</v>
      </c>
      <c r="D174" t="s">
        <v>1030</v>
      </c>
      <c r="E174">
        <v>94000</v>
      </c>
      <c r="F174">
        <v>0.18</v>
      </c>
      <c r="G174" t="s">
        <v>1027</v>
      </c>
      <c r="H174">
        <v>0</v>
      </c>
    </row>
    <row r="175" spans="1:8" x14ac:dyDescent="0.25">
      <c r="A175" t="s">
        <v>1214</v>
      </c>
      <c r="B175" t="s">
        <v>837</v>
      </c>
      <c r="C175" t="s">
        <v>1038</v>
      </c>
      <c r="D175" t="s">
        <v>1039</v>
      </c>
      <c r="E175">
        <v>26000</v>
      </c>
      <c r="F175">
        <v>0.28999999999999998</v>
      </c>
      <c r="G175" t="s">
        <v>1027</v>
      </c>
      <c r="H175">
        <v>0</v>
      </c>
    </row>
    <row r="176" spans="1:8" x14ac:dyDescent="0.25">
      <c r="A176" t="s">
        <v>1215</v>
      </c>
      <c r="B176" t="s">
        <v>554</v>
      </c>
      <c r="C176" t="s">
        <v>1065</v>
      </c>
      <c r="D176" t="s">
        <v>1026</v>
      </c>
      <c r="E176">
        <v>53000</v>
      </c>
      <c r="F176">
        <v>0.17</v>
      </c>
      <c r="G176" t="s">
        <v>1027</v>
      </c>
      <c r="H176">
        <v>0</v>
      </c>
    </row>
    <row r="177" spans="1:8" x14ac:dyDescent="0.25">
      <c r="A177" t="s">
        <v>1216</v>
      </c>
      <c r="B177" t="s">
        <v>890</v>
      </c>
      <c r="C177" t="s">
        <v>1055</v>
      </c>
      <c r="D177" t="s">
        <v>1039</v>
      </c>
      <c r="E177">
        <v>71000</v>
      </c>
      <c r="F177">
        <v>0.28000000000000003</v>
      </c>
      <c r="G177" t="s">
        <v>1027</v>
      </c>
      <c r="H177">
        <v>0</v>
      </c>
    </row>
    <row r="178" spans="1:8" x14ac:dyDescent="0.25">
      <c r="A178" t="s">
        <v>1217</v>
      </c>
      <c r="B178" t="s">
        <v>1000</v>
      </c>
      <c r="C178" t="s">
        <v>1041</v>
      </c>
      <c r="D178" t="s">
        <v>1030</v>
      </c>
      <c r="E178">
        <v>12000</v>
      </c>
      <c r="F178">
        <v>0.19</v>
      </c>
      <c r="G178" t="s">
        <v>1027</v>
      </c>
      <c r="H178">
        <v>0</v>
      </c>
    </row>
    <row r="179" spans="1:8" x14ac:dyDescent="0.25">
      <c r="A179" t="s">
        <v>1218</v>
      </c>
      <c r="B179" t="s">
        <v>859</v>
      </c>
      <c r="C179" t="s">
        <v>1032</v>
      </c>
      <c r="D179" t="s">
        <v>1039</v>
      </c>
      <c r="E179">
        <v>28000</v>
      </c>
      <c r="F179">
        <v>0.21</v>
      </c>
      <c r="G179" t="s">
        <v>1027</v>
      </c>
      <c r="H179">
        <v>0</v>
      </c>
    </row>
    <row r="180" spans="1:8" x14ac:dyDescent="0.25">
      <c r="A180" t="s">
        <v>1219</v>
      </c>
      <c r="B180" t="s">
        <v>700</v>
      </c>
      <c r="C180" t="s">
        <v>1034</v>
      </c>
      <c r="D180" t="s">
        <v>1030</v>
      </c>
      <c r="E180">
        <v>83000</v>
      </c>
      <c r="F180">
        <v>0.16</v>
      </c>
      <c r="G180" t="s">
        <v>1027</v>
      </c>
      <c r="H180">
        <v>0</v>
      </c>
    </row>
    <row r="181" spans="1:8" x14ac:dyDescent="0.25">
      <c r="A181" t="s">
        <v>1220</v>
      </c>
      <c r="B181" t="s">
        <v>649</v>
      </c>
      <c r="C181" t="s">
        <v>1041</v>
      </c>
      <c r="D181" t="s">
        <v>1026</v>
      </c>
      <c r="E181">
        <v>29000</v>
      </c>
      <c r="F181">
        <v>0.54</v>
      </c>
      <c r="G181" t="s">
        <v>1036</v>
      </c>
      <c r="H181">
        <v>1</v>
      </c>
    </row>
    <row r="182" spans="1:8" x14ac:dyDescent="0.25">
      <c r="A182" t="s">
        <v>1221</v>
      </c>
      <c r="B182" t="s">
        <v>800</v>
      </c>
      <c r="C182" t="s">
        <v>1053</v>
      </c>
      <c r="D182" t="s">
        <v>1030</v>
      </c>
      <c r="E182">
        <v>60000</v>
      </c>
      <c r="F182">
        <v>0.49</v>
      </c>
      <c r="G182" t="s">
        <v>1027</v>
      </c>
      <c r="H182">
        <v>0</v>
      </c>
    </row>
    <row r="183" spans="1:8" x14ac:dyDescent="0.25">
      <c r="A183" t="s">
        <v>1222</v>
      </c>
      <c r="B183" t="s">
        <v>985</v>
      </c>
      <c r="C183" t="s">
        <v>1049</v>
      </c>
      <c r="D183" t="s">
        <v>1026</v>
      </c>
      <c r="E183">
        <v>45000</v>
      </c>
      <c r="F183">
        <v>0.54</v>
      </c>
      <c r="G183" t="s">
        <v>1036</v>
      </c>
      <c r="H183">
        <v>1</v>
      </c>
    </row>
    <row r="184" spans="1:8" x14ac:dyDescent="0.25">
      <c r="A184" t="s">
        <v>1223</v>
      </c>
      <c r="B184" t="s">
        <v>810</v>
      </c>
      <c r="C184" t="s">
        <v>1065</v>
      </c>
      <c r="D184" t="s">
        <v>1030</v>
      </c>
      <c r="E184">
        <v>36000</v>
      </c>
      <c r="F184">
        <v>0.47</v>
      </c>
      <c r="G184" t="s">
        <v>1027</v>
      </c>
      <c r="H184">
        <v>0</v>
      </c>
    </row>
    <row r="185" spans="1:8" x14ac:dyDescent="0.25">
      <c r="A185" t="s">
        <v>1224</v>
      </c>
      <c r="B185" t="s">
        <v>970</v>
      </c>
      <c r="C185" t="s">
        <v>1049</v>
      </c>
      <c r="D185" t="s">
        <v>1039</v>
      </c>
      <c r="E185">
        <v>51000</v>
      </c>
      <c r="F185">
        <v>0.2</v>
      </c>
      <c r="G185" t="s">
        <v>1027</v>
      </c>
      <c r="H185">
        <v>0</v>
      </c>
    </row>
    <row r="186" spans="1:8" x14ac:dyDescent="0.25">
      <c r="A186" t="s">
        <v>1225</v>
      </c>
      <c r="B186" t="s">
        <v>795</v>
      </c>
      <c r="C186" t="s">
        <v>1049</v>
      </c>
      <c r="D186" t="s">
        <v>1039</v>
      </c>
      <c r="E186">
        <v>77000</v>
      </c>
      <c r="F186">
        <v>0.15</v>
      </c>
      <c r="G186" t="s">
        <v>1027</v>
      </c>
      <c r="H186">
        <v>0</v>
      </c>
    </row>
    <row r="187" spans="1:8" x14ac:dyDescent="0.25">
      <c r="A187" t="s">
        <v>1226</v>
      </c>
      <c r="B187" t="s">
        <v>1008</v>
      </c>
      <c r="C187" t="s">
        <v>1065</v>
      </c>
      <c r="D187" t="s">
        <v>1039</v>
      </c>
      <c r="E187">
        <v>71000</v>
      </c>
      <c r="F187">
        <v>0.47</v>
      </c>
      <c r="G187" t="s">
        <v>1027</v>
      </c>
      <c r="H187">
        <v>0</v>
      </c>
    </row>
    <row r="188" spans="1:8" x14ac:dyDescent="0.25">
      <c r="A188" t="s">
        <v>1227</v>
      </c>
      <c r="B188" t="s">
        <v>937</v>
      </c>
      <c r="C188" t="s">
        <v>1034</v>
      </c>
      <c r="D188" t="s">
        <v>1035</v>
      </c>
      <c r="E188">
        <v>55000</v>
      </c>
      <c r="F188">
        <v>0.45</v>
      </c>
      <c r="G188" t="s">
        <v>1036</v>
      </c>
      <c r="H188">
        <v>1</v>
      </c>
    </row>
    <row r="189" spans="1:8" x14ac:dyDescent="0.25">
      <c r="A189" t="s">
        <v>1228</v>
      </c>
      <c r="B189" t="s">
        <v>642</v>
      </c>
      <c r="C189" t="s">
        <v>1065</v>
      </c>
      <c r="D189" t="s">
        <v>1026</v>
      </c>
      <c r="E189">
        <v>100000</v>
      </c>
      <c r="F189">
        <v>0.37</v>
      </c>
      <c r="G189" t="s">
        <v>1027</v>
      </c>
      <c r="H189">
        <v>0</v>
      </c>
    </row>
    <row r="190" spans="1:8" x14ac:dyDescent="0.25">
      <c r="A190" t="s">
        <v>1229</v>
      </c>
      <c r="B190" t="s">
        <v>668</v>
      </c>
      <c r="C190" t="s">
        <v>1038</v>
      </c>
      <c r="D190" t="s">
        <v>1026</v>
      </c>
      <c r="E190">
        <v>23000</v>
      </c>
      <c r="F190">
        <v>0.25</v>
      </c>
      <c r="G190" t="s">
        <v>1036</v>
      </c>
      <c r="H190">
        <v>1</v>
      </c>
    </row>
    <row r="191" spans="1:8" x14ac:dyDescent="0.25">
      <c r="A191" t="s">
        <v>1230</v>
      </c>
      <c r="B191" t="s">
        <v>576</v>
      </c>
      <c r="C191" t="s">
        <v>1055</v>
      </c>
      <c r="D191" t="s">
        <v>1030</v>
      </c>
      <c r="E191">
        <v>64000</v>
      </c>
      <c r="F191">
        <v>0.36</v>
      </c>
      <c r="G191" t="s">
        <v>1027</v>
      </c>
      <c r="H191">
        <v>0</v>
      </c>
    </row>
    <row r="192" spans="1:8" x14ac:dyDescent="0.25">
      <c r="A192" t="s">
        <v>1231</v>
      </c>
      <c r="B192" t="s">
        <v>778</v>
      </c>
      <c r="C192" t="s">
        <v>1034</v>
      </c>
      <c r="D192" t="s">
        <v>1035</v>
      </c>
      <c r="E192">
        <v>35000</v>
      </c>
      <c r="F192">
        <v>0.47</v>
      </c>
      <c r="G192" t="s">
        <v>1036</v>
      </c>
      <c r="H192">
        <v>1</v>
      </c>
    </row>
    <row r="193" spans="1:8" x14ac:dyDescent="0.25">
      <c r="A193" t="s">
        <v>1232</v>
      </c>
      <c r="B193" t="s">
        <v>911</v>
      </c>
      <c r="C193" t="s">
        <v>1038</v>
      </c>
      <c r="D193" t="s">
        <v>1030</v>
      </c>
      <c r="E193">
        <v>51000</v>
      </c>
      <c r="F193">
        <v>0.31</v>
      </c>
      <c r="G193" t="s">
        <v>1027</v>
      </c>
      <c r="H193">
        <v>0</v>
      </c>
    </row>
    <row r="194" spans="1:8" x14ac:dyDescent="0.25">
      <c r="A194" t="s">
        <v>1233</v>
      </c>
      <c r="B194" t="s">
        <v>633</v>
      </c>
      <c r="C194" t="s">
        <v>1032</v>
      </c>
      <c r="D194" t="s">
        <v>1030</v>
      </c>
      <c r="E194">
        <v>12000</v>
      </c>
      <c r="F194">
        <v>0.22</v>
      </c>
      <c r="G194" t="s">
        <v>1036</v>
      </c>
      <c r="H194">
        <v>1</v>
      </c>
    </row>
    <row r="195" spans="1:8" x14ac:dyDescent="0.25">
      <c r="A195" t="s">
        <v>1234</v>
      </c>
      <c r="B195" t="s">
        <v>790</v>
      </c>
      <c r="C195" t="s">
        <v>1032</v>
      </c>
      <c r="D195" t="s">
        <v>1030</v>
      </c>
      <c r="E195">
        <v>14000</v>
      </c>
      <c r="F195">
        <v>0.45</v>
      </c>
      <c r="G195" t="s">
        <v>1027</v>
      </c>
      <c r="H195">
        <v>0</v>
      </c>
    </row>
    <row r="196" spans="1:8" x14ac:dyDescent="0.25">
      <c r="A196" t="s">
        <v>1235</v>
      </c>
      <c r="B196" t="s">
        <v>689</v>
      </c>
      <c r="C196" t="s">
        <v>1032</v>
      </c>
      <c r="D196" t="s">
        <v>1026</v>
      </c>
      <c r="E196">
        <v>34000</v>
      </c>
      <c r="F196">
        <v>0.24</v>
      </c>
      <c r="G196" t="s">
        <v>1027</v>
      </c>
      <c r="H196">
        <v>0</v>
      </c>
    </row>
    <row r="197" spans="1:8" x14ac:dyDescent="0.25">
      <c r="A197" t="s">
        <v>1236</v>
      </c>
      <c r="B197" t="s">
        <v>939</v>
      </c>
      <c r="C197" t="s">
        <v>1034</v>
      </c>
      <c r="D197" t="s">
        <v>1026</v>
      </c>
      <c r="E197">
        <v>15000</v>
      </c>
      <c r="F197">
        <v>0.35</v>
      </c>
      <c r="G197" t="s">
        <v>1027</v>
      </c>
      <c r="H197">
        <v>0</v>
      </c>
    </row>
    <row r="198" spans="1:8" x14ac:dyDescent="0.25">
      <c r="A198" t="s">
        <v>1237</v>
      </c>
      <c r="B198" t="s">
        <v>919</v>
      </c>
      <c r="C198" t="s">
        <v>1065</v>
      </c>
      <c r="D198" t="s">
        <v>1026</v>
      </c>
      <c r="E198">
        <v>28000</v>
      </c>
      <c r="F198">
        <v>0.5</v>
      </c>
      <c r="G198" t="s">
        <v>1027</v>
      </c>
      <c r="H198">
        <v>0</v>
      </c>
    </row>
    <row r="199" spans="1:8" x14ac:dyDescent="0.25">
      <c r="A199" t="s">
        <v>1238</v>
      </c>
      <c r="B199" t="s">
        <v>682</v>
      </c>
      <c r="C199" t="s">
        <v>1025</v>
      </c>
      <c r="D199" t="s">
        <v>1030</v>
      </c>
      <c r="E199">
        <v>28000</v>
      </c>
      <c r="F199">
        <v>0.54</v>
      </c>
      <c r="G199" t="s">
        <v>1027</v>
      </c>
      <c r="H199">
        <v>0</v>
      </c>
    </row>
    <row r="200" spans="1:8" x14ac:dyDescent="0.25">
      <c r="A200" t="s">
        <v>1239</v>
      </c>
      <c r="B200" t="s">
        <v>649</v>
      </c>
      <c r="C200" t="s">
        <v>1034</v>
      </c>
      <c r="D200" t="s">
        <v>1030</v>
      </c>
      <c r="E200">
        <v>25000</v>
      </c>
      <c r="F200">
        <v>0.55000000000000004</v>
      </c>
      <c r="G200" t="s">
        <v>1036</v>
      </c>
      <c r="H200">
        <v>1</v>
      </c>
    </row>
    <row r="201" spans="1:8" x14ac:dyDescent="0.25">
      <c r="A201" t="s">
        <v>1240</v>
      </c>
      <c r="B201" t="s">
        <v>663</v>
      </c>
      <c r="C201" t="s">
        <v>1053</v>
      </c>
      <c r="D201" t="s">
        <v>1030</v>
      </c>
      <c r="E201">
        <v>88000</v>
      </c>
      <c r="F201">
        <v>0.49</v>
      </c>
      <c r="G201" t="s">
        <v>1027</v>
      </c>
      <c r="H201">
        <v>0</v>
      </c>
    </row>
    <row r="202" spans="1:8" x14ac:dyDescent="0.25">
      <c r="A202" t="s">
        <v>1241</v>
      </c>
      <c r="B202" t="s">
        <v>778</v>
      </c>
      <c r="C202" t="s">
        <v>1041</v>
      </c>
      <c r="D202" t="s">
        <v>1030</v>
      </c>
      <c r="E202">
        <v>50000</v>
      </c>
      <c r="F202">
        <v>0.17</v>
      </c>
      <c r="G202" t="s">
        <v>1027</v>
      </c>
      <c r="H202">
        <v>0</v>
      </c>
    </row>
    <row r="203" spans="1:8" x14ac:dyDescent="0.25">
      <c r="A203" t="s">
        <v>1242</v>
      </c>
      <c r="B203" t="s">
        <v>601</v>
      </c>
      <c r="C203" t="s">
        <v>1065</v>
      </c>
      <c r="D203" t="s">
        <v>1035</v>
      </c>
      <c r="E203">
        <v>93000</v>
      </c>
      <c r="F203">
        <v>0.54</v>
      </c>
      <c r="G203" t="s">
        <v>1027</v>
      </c>
      <c r="H203">
        <v>0</v>
      </c>
    </row>
    <row r="204" spans="1:8" x14ac:dyDescent="0.25">
      <c r="A204" t="s">
        <v>1243</v>
      </c>
      <c r="B204" t="s">
        <v>767</v>
      </c>
      <c r="C204" t="s">
        <v>1032</v>
      </c>
      <c r="D204" t="s">
        <v>1035</v>
      </c>
      <c r="E204">
        <v>35000</v>
      </c>
      <c r="F204">
        <v>0.28000000000000003</v>
      </c>
      <c r="G204" t="s">
        <v>1027</v>
      </c>
      <c r="H204">
        <v>0</v>
      </c>
    </row>
    <row r="205" spans="1:8" x14ac:dyDescent="0.25">
      <c r="A205" t="s">
        <v>1244</v>
      </c>
      <c r="B205" t="s">
        <v>840</v>
      </c>
      <c r="C205" t="s">
        <v>1038</v>
      </c>
      <c r="D205" t="s">
        <v>1026</v>
      </c>
      <c r="E205">
        <v>74000</v>
      </c>
      <c r="F205">
        <v>0.4</v>
      </c>
      <c r="G205" t="s">
        <v>1027</v>
      </c>
      <c r="H205">
        <v>0</v>
      </c>
    </row>
    <row r="206" spans="1:8" x14ac:dyDescent="0.25">
      <c r="A206" t="s">
        <v>1245</v>
      </c>
      <c r="B206" t="s">
        <v>794</v>
      </c>
      <c r="C206" t="s">
        <v>1032</v>
      </c>
      <c r="D206" t="s">
        <v>1039</v>
      </c>
      <c r="E206">
        <v>13000</v>
      </c>
      <c r="F206">
        <v>0.42</v>
      </c>
      <c r="G206" t="s">
        <v>1036</v>
      </c>
      <c r="H206">
        <v>1</v>
      </c>
    </row>
    <row r="207" spans="1:8" x14ac:dyDescent="0.25">
      <c r="A207" t="s">
        <v>1246</v>
      </c>
      <c r="B207" t="s">
        <v>921</v>
      </c>
      <c r="C207" t="s">
        <v>1038</v>
      </c>
      <c r="D207" t="s">
        <v>1039</v>
      </c>
      <c r="E207">
        <v>85000</v>
      </c>
      <c r="F207">
        <v>0.2</v>
      </c>
      <c r="G207" t="s">
        <v>1027</v>
      </c>
      <c r="H207">
        <v>0</v>
      </c>
    </row>
    <row r="208" spans="1:8" x14ac:dyDescent="0.25">
      <c r="A208" t="s">
        <v>1247</v>
      </c>
      <c r="B208" t="s">
        <v>929</v>
      </c>
      <c r="C208" t="s">
        <v>1041</v>
      </c>
      <c r="D208" t="s">
        <v>1030</v>
      </c>
      <c r="E208">
        <v>23000</v>
      </c>
      <c r="F208">
        <v>0.33</v>
      </c>
      <c r="G208" t="s">
        <v>1027</v>
      </c>
      <c r="H208">
        <v>0</v>
      </c>
    </row>
    <row r="209" spans="1:8" x14ac:dyDescent="0.25">
      <c r="A209" t="s">
        <v>1248</v>
      </c>
      <c r="B209" t="s">
        <v>638</v>
      </c>
      <c r="C209" t="s">
        <v>1038</v>
      </c>
      <c r="D209" t="s">
        <v>1030</v>
      </c>
      <c r="E209">
        <v>81000</v>
      </c>
      <c r="F209">
        <v>0.47</v>
      </c>
      <c r="G209" t="s">
        <v>1027</v>
      </c>
      <c r="H209">
        <v>0</v>
      </c>
    </row>
    <row r="210" spans="1:8" x14ac:dyDescent="0.25">
      <c r="A210" t="s">
        <v>1249</v>
      </c>
      <c r="B210" t="s">
        <v>959</v>
      </c>
      <c r="C210" t="s">
        <v>1041</v>
      </c>
      <c r="D210" t="s">
        <v>1026</v>
      </c>
      <c r="E210">
        <v>36000</v>
      </c>
      <c r="F210">
        <v>0.33</v>
      </c>
      <c r="G210" t="s">
        <v>1027</v>
      </c>
      <c r="H210">
        <v>0</v>
      </c>
    </row>
    <row r="211" spans="1:8" x14ac:dyDescent="0.25">
      <c r="A211" t="s">
        <v>1250</v>
      </c>
      <c r="B211" t="s">
        <v>886</v>
      </c>
      <c r="C211" t="s">
        <v>1049</v>
      </c>
      <c r="D211" t="s">
        <v>1035</v>
      </c>
      <c r="E211">
        <v>15000</v>
      </c>
      <c r="F211">
        <v>0.35</v>
      </c>
      <c r="G211" t="s">
        <v>1027</v>
      </c>
      <c r="H211">
        <v>0</v>
      </c>
    </row>
    <row r="212" spans="1:8" x14ac:dyDescent="0.25">
      <c r="A212" t="s">
        <v>1251</v>
      </c>
      <c r="B212" t="s">
        <v>885</v>
      </c>
      <c r="C212" t="s">
        <v>1055</v>
      </c>
      <c r="D212" t="s">
        <v>1026</v>
      </c>
      <c r="E212">
        <v>71000</v>
      </c>
      <c r="F212">
        <v>0.47</v>
      </c>
      <c r="G212" t="s">
        <v>1027</v>
      </c>
      <c r="H212">
        <v>0</v>
      </c>
    </row>
    <row r="213" spans="1:8" x14ac:dyDescent="0.25">
      <c r="A213" t="s">
        <v>1252</v>
      </c>
      <c r="B213" t="s">
        <v>680</v>
      </c>
      <c r="C213" t="s">
        <v>1053</v>
      </c>
      <c r="D213" t="s">
        <v>1026</v>
      </c>
      <c r="E213">
        <v>38000</v>
      </c>
      <c r="F213">
        <v>0.28999999999999998</v>
      </c>
      <c r="G213" t="s">
        <v>1027</v>
      </c>
      <c r="H213">
        <v>0</v>
      </c>
    </row>
    <row r="214" spans="1:8" x14ac:dyDescent="0.25">
      <c r="A214" t="s">
        <v>1253</v>
      </c>
      <c r="B214" t="s">
        <v>700</v>
      </c>
      <c r="C214" t="s">
        <v>1032</v>
      </c>
      <c r="D214" t="s">
        <v>1030</v>
      </c>
      <c r="E214">
        <v>83000</v>
      </c>
      <c r="F214">
        <v>0.35</v>
      </c>
      <c r="G214" t="s">
        <v>1027</v>
      </c>
      <c r="H214">
        <v>0</v>
      </c>
    </row>
    <row r="215" spans="1:8" x14ac:dyDescent="0.25">
      <c r="A215" t="s">
        <v>1254</v>
      </c>
      <c r="B215" t="s">
        <v>706</v>
      </c>
      <c r="C215" t="s">
        <v>1032</v>
      </c>
      <c r="D215" t="s">
        <v>1026</v>
      </c>
      <c r="E215">
        <v>94000</v>
      </c>
      <c r="F215">
        <v>0.28999999999999998</v>
      </c>
      <c r="G215" t="s">
        <v>1027</v>
      </c>
      <c r="H215">
        <v>0</v>
      </c>
    </row>
    <row r="216" spans="1:8" x14ac:dyDescent="0.25">
      <c r="A216" t="s">
        <v>1255</v>
      </c>
      <c r="B216" t="s">
        <v>862</v>
      </c>
      <c r="C216" t="s">
        <v>1049</v>
      </c>
      <c r="D216" t="s">
        <v>1026</v>
      </c>
      <c r="E216">
        <v>85000</v>
      </c>
      <c r="F216">
        <v>0.18</v>
      </c>
      <c r="G216" t="s">
        <v>1027</v>
      </c>
      <c r="H216">
        <v>0</v>
      </c>
    </row>
    <row r="217" spans="1:8" x14ac:dyDescent="0.25">
      <c r="A217" t="s">
        <v>1256</v>
      </c>
      <c r="B217" t="s">
        <v>849</v>
      </c>
      <c r="C217" t="s">
        <v>1049</v>
      </c>
      <c r="D217" t="s">
        <v>1030</v>
      </c>
      <c r="E217">
        <v>47000</v>
      </c>
      <c r="F217">
        <v>0.44</v>
      </c>
      <c r="G217" t="s">
        <v>1027</v>
      </c>
      <c r="H217">
        <v>0</v>
      </c>
    </row>
    <row r="218" spans="1:8" x14ac:dyDescent="0.25">
      <c r="A218" t="s">
        <v>1257</v>
      </c>
      <c r="B218" t="s">
        <v>761</v>
      </c>
      <c r="C218" t="s">
        <v>1065</v>
      </c>
      <c r="D218" t="s">
        <v>1026</v>
      </c>
      <c r="E218">
        <v>28000</v>
      </c>
      <c r="F218">
        <v>0.35</v>
      </c>
      <c r="G218" t="s">
        <v>1027</v>
      </c>
      <c r="H218">
        <v>0</v>
      </c>
    </row>
    <row r="219" spans="1:8" x14ac:dyDescent="0.25">
      <c r="A219" t="s">
        <v>1258</v>
      </c>
      <c r="B219" t="s">
        <v>684</v>
      </c>
      <c r="C219" t="s">
        <v>1029</v>
      </c>
      <c r="D219" t="s">
        <v>1030</v>
      </c>
      <c r="E219">
        <v>40000</v>
      </c>
      <c r="F219">
        <v>0.2</v>
      </c>
      <c r="G219" t="s">
        <v>1027</v>
      </c>
      <c r="H219">
        <v>0</v>
      </c>
    </row>
    <row r="220" spans="1:8" x14ac:dyDescent="0.25">
      <c r="A220" t="s">
        <v>1259</v>
      </c>
      <c r="B220" t="s">
        <v>648</v>
      </c>
      <c r="C220" t="s">
        <v>1034</v>
      </c>
      <c r="D220" t="s">
        <v>1035</v>
      </c>
      <c r="E220">
        <v>87000</v>
      </c>
      <c r="F220">
        <v>0.26</v>
      </c>
      <c r="G220" t="s">
        <v>1027</v>
      </c>
      <c r="H220">
        <v>0</v>
      </c>
    </row>
    <row r="221" spans="1:8" x14ac:dyDescent="0.25">
      <c r="A221" t="s">
        <v>1260</v>
      </c>
      <c r="B221" t="s">
        <v>597</v>
      </c>
      <c r="C221" t="s">
        <v>1053</v>
      </c>
      <c r="D221" t="s">
        <v>1039</v>
      </c>
      <c r="E221">
        <v>23000</v>
      </c>
      <c r="F221">
        <v>0.36</v>
      </c>
      <c r="G221" t="s">
        <v>1036</v>
      </c>
      <c r="H221">
        <v>1</v>
      </c>
    </row>
    <row r="222" spans="1:8" x14ac:dyDescent="0.25">
      <c r="A222" t="s">
        <v>1261</v>
      </c>
      <c r="B222" t="s">
        <v>910</v>
      </c>
      <c r="C222" t="s">
        <v>1029</v>
      </c>
      <c r="D222" t="s">
        <v>1026</v>
      </c>
      <c r="E222">
        <v>93000</v>
      </c>
      <c r="F222">
        <v>0.37</v>
      </c>
      <c r="G222" t="s">
        <v>1027</v>
      </c>
      <c r="H222">
        <v>0</v>
      </c>
    </row>
    <row r="223" spans="1:8" x14ac:dyDescent="0.25">
      <c r="A223" t="s">
        <v>1262</v>
      </c>
      <c r="B223" t="s">
        <v>662</v>
      </c>
      <c r="C223" t="s">
        <v>1029</v>
      </c>
      <c r="D223" t="s">
        <v>1035</v>
      </c>
      <c r="E223">
        <v>37000</v>
      </c>
      <c r="F223">
        <v>0.35</v>
      </c>
      <c r="G223" t="s">
        <v>1036</v>
      </c>
      <c r="H223">
        <v>1</v>
      </c>
    </row>
    <row r="224" spans="1:8" x14ac:dyDescent="0.25">
      <c r="A224" t="s">
        <v>1263</v>
      </c>
      <c r="B224" t="s">
        <v>967</v>
      </c>
      <c r="C224" t="s">
        <v>1041</v>
      </c>
      <c r="D224" t="s">
        <v>1030</v>
      </c>
      <c r="E224">
        <v>81000</v>
      </c>
      <c r="F224">
        <v>0.37</v>
      </c>
      <c r="G224" t="s">
        <v>1036</v>
      </c>
      <c r="H224">
        <v>1</v>
      </c>
    </row>
    <row r="225" spans="1:8" x14ac:dyDescent="0.25">
      <c r="A225" t="s">
        <v>1264</v>
      </c>
      <c r="B225" t="s">
        <v>926</v>
      </c>
      <c r="C225" t="s">
        <v>1055</v>
      </c>
      <c r="D225" t="s">
        <v>1030</v>
      </c>
      <c r="E225">
        <v>37000</v>
      </c>
      <c r="F225">
        <v>0.17</v>
      </c>
      <c r="G225" t="s">
        <v>1027</v>
      </c>
      <c r="H225">
        <v>0</v>
      </c>
    </row>
    <row r="226" spans="1:8" x14ac:dyDescent="0.25">
      <c r="A226" t="s">
        <v>1265</v>
      </c>
      <c r="B226" t="s">
        <v>748</v>
      </c>
      <c r="C226" t="s">
        <v>1025</v>
      </c>
      <c r="D226" t="s">
        <v>1035</v>
      </c>
      <c r="E226">
        <v>60000</v>
      </c>
      <c r="F226">
        <v>0.26</v>
      </c>
      <c r="G226" t="s">
        <v>1027</v>
      </c>
      <c r="H226">
        <v>0</v>
      </c>
    </row>
    <row r="227" spans="1:8" x14ac:dyDescent="0.25">
      <c r="A227" t="s">
        <v>1266</v>
      </c>
      <c r="B227" t="s">
        <v>697</v>
      </c>
      <c r="C227" t="s">
        <v>1032</v>
      </c>
      <c r="D227" t="s">
        <v>1035</v>
      </c>
      <c r="E227">
        <v>75000</v>
      </c>
      <c r="F227">
        <v>0.17</v>
      </c>
      <c r="G227" t="s">
        <v>1027</v>
      </c>
      <c r="H227">
        <v>0</v>
      </c>
    </row>
    <row r="228" spans="1:8" x14ac:dyDescent="0.25">
      <c r="A228" t="s">
        <v>1267</v>
      </c>
      <c r="B228" t="s">
        <v>744</v>
      </c>
      <c r="C228" t="s">
        <v>1049</v>
      </c>
      <c r="D228" t="s">
        <v>1039</v>
      </c>
      <c r="E228">
        <v>65000</v>
      </c>
      <c r="F228">
        <v>0.47</v>
      </c>
      <c r="G228" t="s">
        <v>1027</v>
      </c>
      <c r="H228">
        <v>0</v>
      </c>
    </row>
    <row r="229" spans="1:8" x14ac:dyDescent="0.25">
      <c r="A229" t="s">
        <v>1268</v>
      </c>
      <c r="B229" t="s">
        <v>721</v>
      </c>
      <c r="C229" t="s">
        <v>1034</v>
      </c>
      <c r="D229" t="s">
        <v>1039</v>
      </c>
      <c r="E229">
        <v>53000</v>
      </c>
      <c r="F229">
        <v>0.18</v>
      </c>
      <c r="G229" t="s">
        <v>1027</v>
      </c>
      <c r="H229">
        <v>0</v>
      </c>
    </row>
    <row r="230" spans="1:8" x14ac:dyDescent="0.25">
      <c r="A230" t="s">
        <v>1269</v>
      </c>
      <c r="B230" t="s">
        <v>641</v>
      </c>
      <c r="C230" t="s">
        <v>1055</v>
      </c>
      <c r="D230" t="s">
        <v>1035</v>
      </c>
      <c r="E230">
        <v>41000</v>
      </c>
      <c r="F230">
        <v>0.24</v>
      </c>
      <c r="G230" t="s">
        <v>1027</v>
      </c>
      <c r="H230">
        <v>0</v>
      </c>
    </row>
    <row r="231" spans="1:8" x14ac:dyDescent="0.25">
      <c r="A231" t="s">
        <v>1270</v>
      </c>
      <c r="B231" t="s">
        <v>588</v>
      </c>
      <c r="C231" t="s">
        <v>1034</v>
      </c>
      <c r="D231" t="s">
        <v>1026</v>
      </c>
      <c r="E231">
        <v>65000</v>
      </c>
      <c r="F231">
        <v>0.2</v>
      </c>
      <c r="G231" t="s">
        <v>1027</v>
      </c>
      <c r="H231">
        <v>0</v>
      </c>
    </row>
    <row r="232" spans="1:8" x14ac:dyDescent="0.25">
      <c r="A232" t="s">
        <v>1271</v>
      </c>
      <c r="B232" t="s">
        <v>660</v>
      </c>
      <c r="C232" t="s">
        <v>1029</v>
      </c>
      <c r="D232" t="s">
        <v>1035</v>
      </c>
      <c r="E232">
        <v>51000</v>
      </c>
      <c r="F232">
        <v>0.35</v>
      </c>
      <c r="G232" t="s">
        <v>1027</v>
      </c>
      <c r="H232">
        <v>0</v>
      </c>
    </row>
    <row r="233" spans="1:8" x14ac:dyDescent="0.25">
      <c r="A233" t="s">
        <v>1272</v>
      </c>
      <c r="B233" t="s">
        <v>648</v>
      </c>
      <c r="C233" t="s">
        <v>1034</v>
      </c>
      <c r="D233" t="s">
        <v>1030</v>
      </c>
      <c r="E233">
        <v>17000</v>
      </c>
      <c r="F233">
        <v>0.41</v>
      </c>
      <c r="G233" t="s">
        <v>1027</v>
      </c>
      <c r="H233">
        <v>0</v>
      </c>
    </row>
    <row r="234" spans="1:8" x14ac:dyDescent="0.25">
      <c r="A234" t="s">
        <v>1273</v>
      </c>
      <c r="B234" t="s">
        <v>574</v>
      </c>
      <c r="C234" t="s">
        <v>1053</v>
      </c>
      <c r="D234" t="s">
        <v>1039</v>
      </c>
      <c r="E234">
        <v>34000</v>
      </c>
      <c r="F234">
        <v>0.15</v>
      </c>
      <c r="G234" t="s">
        <v>1036</v>
      </c>
      <c r="H234">
        <v>1</v>
      </c>
    </row>
    <row r="235" spans="1:8" x14ac:dyDescent="0.25">
      <c r="A235" t="s">
        <v>1274</v>
      </c>
      <c r="B235" t="s">
        <v>658</v>
      </c>
      <c r="C235" t="s">
        <v>1049</v>
      </c>
      <c r="D235" t="s">
        <v>1030</v>
      </c>
      <c r="E235">
        <v>34000</v>
      </c>
      <c r="F235">
        <v>0.4</v>
      </c>
      <c r="G235" t="s">
        <v>1027</v>
      </c>
      <c r="H235">
        <v>0</v>
      </c>
    </row>
    <row r="236" spans="1:8" x14ac:dyDescent="0.25">
      <c r="A236" t="s">
        <v>1275</v>
      </c>
      <c r="B236" t="s">
        <v>786</v>
      </c>
      <c r="C236" t="s">
        <v>1025</v>
      </c>
      <c r="D236" t="s">
        <v>1026</v>
      </c>
      <c r="E236">
        <v>65000</v>
      </c>
      <c r="F236">
        <v>0.23</v>
      </c>
      <c r="G236" t="s">
        <v>1027</v>
      </c>
      <c r="H236">
        <v>0</v>
      </c>
    </row>
    <row r="237" spans="1:8" x14ac:dyDescent="0.25">
      <c r="A237" t="s">
        <v>1276</v>
      </c>
      <c r="B237" t="s">
        <v>852</v>
      </c>
      <c r="C237" t="s">
        <v>1025</v>
      </c>
      <c r="D237" t="s">
        <v>1030</v>
      </c>
      <c r="E237">
        <v>50000</v>
      </c>
      <c r="F237">
        <v>0.32</v>
      </c>
      <c r="G237" t="s">
        <v>1027</v>
      </c>
      <c r="H237">
        <v>0</v>
      </c>
    </row>
    <row r="238" spans="1:8" x14ac:dyDescent="0.25">
      <c r="A238" t="s">
        <v>1277</v>
      </c>
      <c r="B238" t="s">
        <v>772</v>
      </c>
      <c r="C238" t="s">
        <v>1055</v>
      </c>
      <c r="D238" t="s">
        <v>1039</v>
      </c>
      <c r="E238">
        <v>76000</v>
      </c>
      <c r="F238">
        <v>0.41</v>
      </c>
      <c r="G238" t="s">
        <v>1027</v>
      </c>
      <c r="H238">
        <v>0</v>
      </c>
    </row>
    <row r="239" spans="1:8" x14ac:dyDescent="0.25">
      <c r="A239" t="s">
        <v>1278</v>
      </c>
      <c r="B239" t="s">
        <v>736</v>
      </c>
      <c r="C239" t="s">
        <v>1025</v>
      </c>
      <c r="D239" t="s">
        <v>1030</v>
      </c>
      <c r="E239">
        <v>56000</v>
      </c>
      <c r="F239">
        <v>0.19</v>
      </c>
      <c r="G239" t="s">
        <v>1027</v>
      </c>
      <c r="H239">
        <v>0</v>
      </c>
    </row>
    <row r="240" spans="1:8" x14ac:dyDescent="0.25">
      <c r="A240" t="s">
        <v>1279</v>
      </c>
      <c r="B240" t="s">
        <v>931</v>
      </c>
      <c r="C240" t="s">
        <v>1065</v>
      </c>
      <c r="D240" t="s">
        <v>1030</v>
      </c>
      <c r="E240">
        <v>100000</v>
      </c>
      <c r="F240">
        <v>0.38</v>
      </c>
      <c r="G240" t="s">
        <v>1027</v>
      </c>
      <c r="H240">
        <v>0</v>
      </c>
    </row>
    <row r="241" spans="1:8" x14ac:dyDescent="0.25">
      <c r="A241" t="s">
        <v>1280</v>
      </c>
      <c r="B241" t="s">
        <v>881</v>
      </c>
      <c r="C241" t="s">
        <v>1055</v>
      </c>
      <c r="D241" t="s">
        <v>1030</v>
      </c>
      <c r="E241">
        <v>88000</v>
      </c>
      <c r="F241">
        <v>0.53</v>
      </c>
      <c r="G241" t="s">
        <v>1027</v>
      </c>
      <c r="H241">
        <v>0</v>
      </c>
    </row>
    <row r="242" spans="1:8" x14ac:dyDescent="0.25">
      <c r="A242" t="s">
        <v>1281</v>
      </c>
      <c r="B242" t="s">
        <v>563</v>
      </c>
      <c r="C242" t="s">
        <v>1025</v>
      </c>
      <c r="D242" t="s">
        <v>1039</v>
      </c>
      <c r="E242">
        <v>13000</v>
      </c>
      <c r="F242">
        <v>0.42</v>
      </c>
      <c r="G242" t="s">
        <v>1027</v>
      </c>
      <c r="H242">
        <v>0</v>
      </c>
    </row>
    <row r="243" spans="1:8" x14ac:dyDescent="0.25">
      <c r="A243" t="s">
        <v>1282</v>
      </c>
      <c r="B243" t="s">
        <v>756</v>
      </c>
      <c r="C243" t="s">
        <v>1034</v>
      </c>
      <c r="D243" t="s">
        <v>1039</v>
      </c>
      <c r="E243">
        <v>30000</v>
      </c>
      <c r="F243">
        <v>0.32</v>
      </c>
      <c r="G243" t="s">
        <v>1027</v>
      </c>
      <c r="H243">
        <v>0</v>
      </c>
    </row>
    <row r="244" spans="1:8" x14ac:dyDescent="0.25">
      <c r="A244" t="s">
        <v>1283</v>
      </c>
      <c r="B244" t="s">
        <v>1002</v>
      </c>
      <c r="C244" t="s">
        <v>1065</v>
      </c>
      <c r="D244" t="s">
        <v>1035</v>
      </c>
      <c r="E244">
        <v>10000</v>
      </c>
      <c r="F244">
        <v>0.37</v>
      </c>
      <c r="G244" t="s">
        <v>1027</v>
      </c>
      <c r="H244">
        <v>0</v>
      </c>
    </row>
    <row r="245" spans="1:8" x14ac:dyDescent="0.25">
      <c r="A245" t="s">
        <v>1284</v>
      </c>
      <c r="B245" t="s">
        <v>903</v>
      </c>
      <c r="C245" t="s">
        <v>1065</v>
      </c>
      <c r="D245" t="s">
        <v>1030</v>
      </c>
      <c r="E245">
        <v>95000</v>
      </c>
      <c r="F245">
        <v>0.45</v>
      </c>
      <c r="G245" t="s">
        <v>1027</v>
      </c>
      <c r="H245">
        <v>0</v>
      </c>
    </row>
    <row r="246" spans="1:8" x14ac:dyDescent="0.25">
      <c r="A246" t="s">
        <v>1285</v>
      </c>
      <c r="B246" t="s">
        <v>704</v>
      </c>
      <c r="C246" t="s">
        <v>1029</v>
      </c>
      <c r="D246" t="s">
        <v>1039</v>
      </c>
      <c r="E246">
        <v>50000</v>
      </c>
      <c r="F246">
        <v>0.49</v>
      </c>
      <c r="G246" t="s">
        <v>1036</v>
      </c>
      <c r="H246">
        <v>1</v>
      </c>
    </row>
    <row r="247" spans="1:8" x14ac:dyDescent="0.25">
      <c r="A247" t="s">
        <v>1286</v>
      </c>
      <c r="B247" t="s">
        <v>714</v>
      </c>
      <c r="C247" t="s">
        <v>1025</v>
      </c>
      <c r="D247" t="s">
        <v>1039</v>
      </c>
      <c r="E247">
        <v>38000</v>
      </c>
      <c r="F247">
        <v>0.19</v>
      </c>
      <c r="G247" t="s">
        <v>1027</v>
      </c>
      <c r="H247">
        <v>0</v>
      </c>
    </row>
    <row r="248" spans="1:8" x14ac:dyDescent="0.25">
      <c r="A248" t="s">
        <v>1287</v>
      </c>
      <c r="B248" t="s">
        <v>862</v>
      </c>
      <c r="C248" t="s">
        <v>1055</v>
      </c>
      <c r="D248" t="s">
        <v>1035</v>
      </c>
      <c r="E248">
        <v>56000</v>
      </c>
      <c r="F248">
        <v>0.21</v>
      </c>
      <c r="G248" t="s">
        <v>1027</v>
      </c>
      <c r="H248">
        <v>0</v>
      </c>
    </row>
    <row r="249" spans="1:8" x14ac:dyDescent="0.25">
      <c r="A249" t="s">
        <v>1288</v>
      </c>
      <c r="B249" t="s">
        <v>651</v>
      </c>
      <c r="C249" t="s">
        <v>1025</v>
      </c>
      <c r="D249" t="s">
        <v>1026</v>
      </c>
      <c r="E249">
        <v>51000</v>
      </c>
      <c r="F249">
        <v>0.27</v>
      </c>
      <c r="G249" t="s">
        <v>1036</v>
      </c>
      <c r="H249">
        <v>1</v>
      </c>
    </row>
    <row r="250" spans="1:8" x14ac:dyDescent="0.25">
      <c r="A250" t="s">
        <v>1289</v>
      </c>
      <c r="B250" t="s">
        <v>701</v>
      </c>
      <c r="C250" t="s">
        <v>1032</v>
      </c>
      <c r="D250" t="s">
        <v>1026</v>
      </c>
      <c r="E250">
        <v>43000</v>
      </c>
      <c r="F250">
        <v>0.43</v>
      </c>
      <c r="G250" t="s">
        <v>1027</v>
      </c>
      <c r="H250">
        <v>0</v>
      </c>
    </row>
    <row r="251" spans="1:8" x14ac:dyDescent="0.25">
      <c r="A251" t="s">
        <v>1290</v>
      </c>
      <c r="B251" t="s">
        <v>808</v>
      </c>
      <c r="C251" t="s">
        <v>1029</v>
      </c>
      <c r="D251" t="s">
        <v>1039</v>
      </c>
      <c r="E251">
        <v>100000</v>
      </c>
      <c r="F251">
        <v>0.33</v>
      </c>
      <c r="G251" t="s">
        <v>1027</v>
      </c>
      <c r="H251">
        <v>0</v>
      </c>
    </row>
    <row r="252" spans="1:8" x14ac:dyDescent="0.25">
      <c r="A252" t="s">
        <v>1291</v>
      </c>
      <c r="B252" t="s">
        <v>841</v>
      </c>
      <c r="C252" t="s">
        <v>1049</v>
      </c>
      <c r="D252" t="s">
        <v>1030</v>
      </c>
      <c r="E252">
        <v>93000</v>
      </c>
      <c r="F252">
        <v>0.41</v>
      </c>
      <c r="G252" t="s">
        <v>1027</v>
      </c>
      <c r="H252">
        <v>0</v>
      </c>
    </row>
    <row r="253" spans="1:8" x14ac:dyDescent="0.25">
      <c r="A253" t="s">
        <v>1292</v>
      </c>
      <c r="B253" t="s">
        <v>930</v>
      </c>
      <c r="C253" t="s">
        <v>1029</v>
      </c>
      <c r="D253" t="s">
        <v>1030</v>
      </c>
      <c r="E253">
        <v>64000</v>
      </c>
      <c r="F253">
        <v>0.2</v>
      </c>
      <c r="G253" t="s">
        <v>1027</v>
      </c>
      <c r="H253">
        <v>0</v>
      </c>
    </row>
    <row r="254" spans="1:8" x14ac:dyDescent="0.25">
      <c r="A254" t="s">
        <v>1293</v>
      </c>
      <c r="B254" t="s">
        <v>532</v>
      </c>
      <c r="C254" t="s">
        <v>1065</v>
      </c>
      <c r="D254" t="s">
        <v>1039</v>
      </c>
      <c r="E254">
        <v>83000</v>
      </c>
      <c r="F254">
        <v>0.5</v>
      </c>
      <c r="G254" t="s">
        <v>1027</v>
      </c>
      <c r="H254">
        <v>0</v>
      </c>
    </row>
    <row r="255" spans="1:8" x14ac:dyDescent="0.25">
      <c r="A255" t="s">
        <v>1294</v>
      </c>
      <c r="B255" t="s">
        <v>598</v>
      </c>
      <c r="C255" t="s">
        <v>1032</v>
      </c>
      <c r="D255" t="s">
        <v>1026</v>
      </c>
      <c r="E255">
        <v>56000</v>
      </c>
      <c r="F255">
        <v>0.4</v>
      </c>
      <c r="G255" t="s">
        <v>1027</v>
      </c>
      <c r="H255">
        <v>0</v>
      </c>
    </row>
    <row r="256" spans="1:8" x14ac:dyDescent="0.25">
      <c r="A256" t="s">
        <v>1295</v>
      </c>
      <c r="B256" t="s">
        <v>691</v>
      </c>
      <c r="C256" t="s">
        <v>1049</v>
      </c>
      <c r="D256" t="s">
        <v>1026</v>
      </c>
      <c r="E256">
        <v>47000</v>
      </c>
      <c r="F256">
        <v>0.37</v>
      </c>
      <c r="G256" t="s">
        <v>1036</v>
      </c>
      <c r="H256">
        <v>1</v>
      </c>
    </row>
    <row r="257" spans="1:8" x14ac:dyDescent="0.25">
      <c r="A257" t="s">
        <v>1296</v>
      </c>
      <c r="B257" t="s">
        <v>719</v>
      </c>
      <c r="C257" t="s">
        <v>1053</v>
      </c>
      <c r="D257" t="s">
        <v>1030</v>
      </c>
      <c r="E257">
        <v>50000</v>
      </c>
      <c r="F257">
        <v>0.38</v>
      </c>
      <c r="G257" t="s">
        <v>1027</v>
      </c>
      <c r="H257">
        <v>0</v>
      </c>
    </row>
    <row r="258" spans="1:8" x14ac:dyDescent="0.25">
      <c r="A258" t="s">
        <v>1297</v>
      </c>
      <c r="B258" t="s">
        <v>980</v>
      </c>
      <c r="C258" t="s">
        <v>1025</v>
      </c>
      <c r="D258" t="s">
        <v>1035</v>
      </c>
      <c r="E258">
        <v>27000</v>
      </c>
      <c r="F258">
        <v>0.33</v>
      </c>
      <c r="G258" t="s">
        <v>1027</v>
      </c>
      <c r="H258">
        <v>0</v>
      </c>
    </row>
    <row r="259" spans="1:8" x14ac:dyDescent="0.25">
      <c r="A259" t="s">
        <v>1298</v>
      </c>
      <c r="B259" t="s">
        <v>583</v>
      </c>
      <c r="C259" t="s">
        <v>1038</v>
      </c>
      <c r="D259" t="s">
        <v>1030</v>
      </c>
      <c r="E259">
        <v>97000</v>
      </c>
      <c r="F259">
        <v>0.17</v>
      </c>
      <c r="G259" t="s">
        <v>1027</v>
      </c>
      <c r="H259">
        <v>0</v>
      </c>
    </row>
    <row r="260" spans="1:8" x14ac:dyDescent="0.25">
      <c r="A260" t="s">
        <v>1299</v>
      </c>
      <c r="B260" t="s">
        <v>580</v>
      </c>
      <c r="C260" t="s">
        <v>1065</v>
      </c>
      <c r="D260" t="s">
        <v>1039</v>
      </c>
      <c r="E260">
        <v>66000</v>
      </c>
      <c r="F260">
        <v>0.15</v>
      </c>
      <c r="G260" t="s">
        <v>1027</v>
      </c>
      <c r="H260">
        <v>0</v>
      </c>
    </row>
    <row r="261" spans="1:8" x14ac:dyDescent="0.25">
      <c r="A261" t="s">
        <v>1300</v>
      </c>
      <c r="B261" t="s">
        <v>854</v>
      </c>
      <c r="C261" t="s">
        <v>1055</v>
      </c>
      <c r="D261" t="s">
        <v>1039</v>
      </c>
      <c r="E261">
        <v>47000</v>
      </c>
      <c r="F261">
        <v>0.17</v>
      </c>
      <c r="G261" t="s">
        <v>1036</v>
      </c>
      <c r="H261">
        <v>1</v>
      </c>
    </row>
    <row r="262" spans="1:8" x14ac:dyDescent="0.25">
      <c r="A262" t="s">
        <v>1301</v>
      </c>
      <c r="B262" t="s">
        <v>867</v>
      </c>
      <c r="C262" t="s">
        <v>1038</v>
      </c>
      <c r="D262" t="s">
        <v>1039</v>
      </c>
      <c r="E262">
        <v>34000</v>
      </c>
      <c r="F262">
        <v>0.37</v>
      </c>
      <c r="G262" t="s">
        <v>1027</v>
      </c>
      <c r="H262">
        <v>0</v>
      </c>
    </row>
    <row r="263" spans="1:8" x14ac:dyDescent="0.25">
      <c r="A263" t="s">
        <v>1302</v>
      </c>
      <c r="B263" t="s">
        <v>849</v>
      </c>
      <c r="C263" t="s">
        <v>1038</v>
      </c>
      <c r="D263" t="s">
        <v>1026</v>
      </c>
      <c r="E263">
        <v>43000</v>
      </c>
      <c r="F263">
        <v>0.55000000000000004</v>
      </c>
      <c r="G263" t="s">
        <v>1036</v>
      </c>
      <c r="H263">
        <v>1</v>
      </c>
    </row>
    <row r="264" spans="1:8" x14ac:dyDescent="0.25">
      <c r="A264" t="s">
        <v>1303</v>
      </c>
      <c r="B264" t="s">
        <v>751</v>
      </c>
      <c r="C264" t="s">
        <v>1053</v>
      </c>
      <c r="D264" t="s">
        <v>1035</v>
      </c>
      <c r="E264">
        <v>38000</v>
      </c>
      <c r="F264">
        <v>0.42</v>
      </c>
      <c r="G264" t="s">
        <v>1027</v>
      </c>
      <c r="H264">
        <v>0</v>
      </c>
    </row>
    <row r="265" spans="1:8" x14ac:dyDescent="0.25">
      <c r="A265" t="s">
        <v>1304</v>
      </c>
      <c r="B265" t="s">
        <v>591</v>
      </c>
      <c r="C265" t="s">
        <v>1032</v>
      </c>
      <c r="D265" t="s">
        <v>1039</v>
      </c>
      <c r="E265">
        <v>93000</v>
      </c>
      <c r="F265">
        <v>0.28000000000000003</v>
      </c>
      <c r="G265" t="s">
        <v>1036</v>
      </c>
      <c r="H265">
        <v>1</v>
      </c>
    </row>
    <row r="266" spans="1:8" x14ac:dyDescent="0.25">
      <c r="A266" t="s">
        <v>1305</v>
      </c>
      <c r="B266" t="s">
        <v>917</v>
      </c>
      <c r="C266" t="s">
        <v>1034</v>
      </c>
      <c r="D266" t="s">
        <v>1035</v>
      </c>
      <c r="E266">
        <v>100000</v>
      </c>
      <c r="F266">
        <v>0.37</v>
      </c>
      <c r="G266" t="s">
        <v>1027</v>
      </c>
      <c r="H266">
        <v>0</v>
      </c>
    </row>
    <row r="267" spans="1:8" x14ac:dyDescent="0.25">
      <c r="A267" t="s">
        <v>1306</v>
      </c>
      <c r="B267" t="s">
        <v>642</v>
      </c>
      <c r="C267" t="s">
        <v>1029</v>
      </c>
      <c r="D267" t="s">
        <v>1026</v>
      </c>
      <c r="E267">
        <v>17000</v>
      </c>
      <c r="F267">
        <v>0.48</v>
      </c>
      <c r="G267" t="s">
        <v>1027</v>
      </c>
      <c r="H267">
        <v>0</v>
      </c>
    </row>
    <row r="268" spans="1:8" x14ac:dyDescent="0.25">
      <c r="A268" t="s">
        <v>1307</v>
      </c>
      <c r="B268" t="s">
        <v>1003</v>
      </c>
      <c r="C268" t="s">
        <v>1034</v>
      </c>
      <c r="D268" t="s">
        <v>1030</v>
      </c>
      <c r="E268">
        <v>78000</v>
      </c>
      <c r="F268">
        <v>0.43</v>
      </c>
      <c r="G268" t="s">
        <v>1027</v>
      </c>
      <c r="H268">
        <v>0</v>
      </c>
    </row>
    <row r="269" spans="1:8" x14ac:dyDescent="0.25">
      <c r="A269" t="s">
        <v>1308</v>
      </c>
      <c r="B269" t="s">
        <v>637</v>
      </c>
      <c r="C269" t="s">
        <v>1055</v>
      </c>
      <c r="D269" t="s">
        <v>1026</v>
      </c>
      <c r="E269">
        <v>71000</v>
      </c>
      <c r="F269">
        <v>0.54</v>
      </c>
      <c r="G269" t="s">
        <v>1027</v>
      </c>
      <c r="H269">
        <v>0</v>
      </c>
    </row>
    <row r="270" spans="1:8" x14ac:dyDescent="0.25">
      <c r="A270" t="s">
        <v>1309</v>
      </c>
      <c r="B270" t="s">
        <v>564</v>
      </c>
      <c r="C270" t="s">
        <v>1041</v>
      </c>
      <c r="D270" t="s">
        <v>1039</v>
      </c>
      <c r="E270">
        <v>74000</v>
      </c>
      <c r="F270">
        <v>0.18</v>
      </c>
      <c r="G270" t="s">
        <v>1027</v>
      </c>
      <c r="H270">
        <v>0</v>
      </c>
    </row>
    <row r="271" spans="1:8" x14ac:dyDescent="0.25">
      <c r="A271" t="s">
        <v>1310</v>
      </c>
      <c r="B271" t="s">
        <v>665</v>
      </c>
      <c r="C271" t="s">
        <v>1029</v>
      </c>
      <c r="D271" t="s">
        <v>1026</v>
      </c>
      <c r="E271">
        <v>72000</v>
      </c>
      <c r="F271">
        <v>0.34</v>
      </c>
      <c r="G271" t="s">
        <v>1027</v>
      </c>
      <c r="H271">
        <v>0</v>
      </c>
    </row>
    <row r="272" spans="1:8" x14ac:dyDescent="0.25">
      <c r="A272" t="s">
        <v>1311</v>
      </c>
      <c r="B272" t="s">
        <v>971</v>
      </c>
      <c r="C272" t="s">
        <v>1065</v>
      </c>
      <c r="D272" t="s">
        <v>1039</v>
      </c>
      <c r="E272">
        <v>79000</v>
      </c>
      <c r="F272">
        <v>0.22</v>
      </c>
      <c r="G272" t="s">
        <v>1027</v>
      </c>
      <c r="H272">
        <v>0</v>
      </c>
    </row>
    <row r="273" spans="1:8" x14ac:dyDescent="0.25">
      <c r="A273" t="s">
        <v>1312</v>
      </c>
      <c r="B273" t="s">
        <v>928</v>
      </c>
      <c r="C273" t="s">
        <v>1065</v>
      </c>
      <c r="D273" t="s">
        <v>1030</v>
      </c>
      <c r="E273">
        <v>92000</v>
      </c>
      <c r="F273">
        <v>0.35</v>
      </c>
      <c r="G273" t="s">
        <v>1027</v>
      </c>
      <c r="H273">
        <v>0</v>
      </c>
    </row>
    <row r="274" spans="1:8" x14ac:dyDescent="0.25">
      <c r="A274" t="s">
        <v>1313</v>
      </c>
      <c r="B274" t="s">
        <v>626</v>
      </c>
      <c r="C274" t="s">
        <v>1049</v>
      </c>
      <c r="D274" t="s">
        <v>1035</v>
      </c>
      <c r="E274">
        <v>35000</v>
      </c>
      <c r="F274">
        <v>0.45</v>
      </c>
      <c r="G274" t="s">
        <v>1036</v>
      </c>
      <c r="H274">
        <v>1</v>
      </c>
    </row>
    <row r="275" spans="1:8" x14ac:dyDescent="0.25">
      <c r="A275" t="s">
        <v>1314</v>
      </c>
      <c r="B275" t="s">
        <v>584</v>
      </c>
      <c r="C275" t="s">
        <v>1065</v>
      </c>
      <c r="D275" t="s">
        <v>1035</v>
      </c>
      <c r="E275">
        <v>71000</v>
      </c>
      <c r="F275">
        <v>0.26</v>
      </c>
      <c r="G275" t="s">
        <v>1027</v>
      </c>
      <c r="H275">
        <v>0</v>
      </c>
    </row>
    <row r="276" spans="1:8" x14ac:dyDescent="0.25">
      <c r="A276" t="s">
        <v>1315</v>
      </c>
      <c r="B276" t="s">
        <v>763</v>
      </c>
      <c r="C276" t="s">
        <v>1038</v>
      </c>
      <c r="D276" t="s">
        <v>1035</v>
      </c>
      <c r="E276">
        <v>68000</v>
      </c>
      <c r="F276">
        <v>0.37</v>
      </c>
      <c r="G276" t="s">
        <v>1027</v>
      </c>
      <c r="H276">
        <v>0</v>
      </c>
    </row>
    <row r="277" spans="1:8" x14ac:dyDescent="0.25">
      <c r="A277" t="s">
        <v>1316</v>
      </c>
      <c r="B277" t="s">
        <v>616</v>
      </c>
      <c r="C277" t="s">
        <v>1055</v>
      </c>
      <c r="D277" t="s">
        <v>1035</v>
      </c>
      <c r="E277">
        <v>41000</v>
      </c>
      <c r="F277">
        <v>0.28000000000000003</v>
      </c>
      <c r="G277" t="s">
        <v>1027</v>
      </c>
      <c r="H277">
        <v>0</v>
      </c>
    </row>
    <row r="278" spans="1:8" x14ac:dyDescent="0.25">
      <c r="A278" t="s">
        <v>1317</v>
      </c>
      <c r="B278" t="s">
        <v>992</v>
      </c>
      <c r="C278" t="s">
        <v>1065</v>
      </c>
      <c r="D278" t="s">
        <v>1030</v>
      </c>
      <c r="E278">
        <v>54000</v>
      </c>
      <c r="F278">
        <v>0.26</v>
      </c>
      <c r="G278" t="s">
        <v>1027</v>
      </c>
      <c r="H278">
        <v>0</v>
      </c>
    </row>
    <row r="279" spans="1:8" x14ac:dyDescent="0.25">
      <c r="A279" t="s">
        <v>1318</v>
      </c>
      <c r="B279" t="s">
        <v>825</v>
      </c>
      <c r="C279" t="s">
        <v>1029</v>
      </c>
      <c r="D279" t="s">
        <v>1026</v>
      </c>
      <c r="E279">
        <v>33000</v>
      </c>
      <c r="F279">
        <v>0.5</v>
      </c>
      <c r="G279" t="s">
        <v>1027</v>
      </c>
      <c r="H279">
        <v>0</v>
      </c>
    </row>
    <row r="280" spans="1:8" x14ac:dyDescent="0.25">
      <c r="A280" t="s">
        <v>1319</v>
      </c>
      <c r="B280" t="s">
        <v>709</v>
      </c>
      <c r="C280" t="s">
        <v>1053</v>
      </c>
      <c r="D280" t="s">
        <v>1026</v>
      </c>
      <c r="E280">
        <v>38000</v>
      </c>
      <c r="F280">
        <v>0.42</v>
      </c>
      <c r="G280" t="s">
        <v>1027</v>
      </c>
      <c r="H280">
        <v>0</v>
      </c>
    </row>
    <row r="281" spans="1:8" x14ac:dyDescent="0.25">
      <c r="A281" t="s">
        <v>1320</v>
      </c>
      <c r="B281" t="s">
        <v>859</v>
      </c>
      <c r="C281" t="s">
        <v>1025</v>
      </c>
      <c r="D281" t="s">
        <v>1039</v>
      </c>
      <c r="E281">
        <v>40000</v>
      </c>
      <c r="F281">
        <v>0.41</v>
      </c>
      <c r="G281" t="s">
        <v>1027</v>
      </c>
      <c r="H281">
        <v>0</v>
      </c>
    </row>
    <row r="282" spans="1:8" x14ac:dyDescent="0.25">
      <c r="A282" t="s">
        <v>1321</v>
      </c>
      <c r="B282" t="s">
        <v>764</v>
      </c>
      <c r="C282" t="s">
        <v>1041</v>
      </c>
      <c r="D282" t="s">
        <v>1030</v>
      </c>
      <c r="E282">
        <v>93000</v>
      </c>
      <c r="F282">
        <v>0.21</v>
      </c>
      <c r="G282" t="s">
        <v>1027</v>
      </c>
      <c r="H282">
        <v>0</v>
      </c>
    </row>
    <row r="283" spans="1:8" x14ac:dyDescent="0.25">
      <c r="A283" t="s">
        <v>1322</v>
      </c>
      <c r="B283" t="s">
        <v>923</v>
      </c>
      <c r="C283" t="s">
        <v>1029</v>
      </c>
      <c r="D283" t="s">
        <v>1035</v>
      </c>
      <c r="E283">
        <v>24000</v>
      </c>
      <c r="F283">
        <v>0.34</v>
      </c>
      <c r="G283" t="s">
        <v>1027</v>
      </c>
      <c r="H283">
        <v>0</v>
      </c>
    </row>
    <row r="284" spans="1:8" x14ac:dyDescent="0.25">
      <c r="A284" t="s">
        <v>1323</v>
      </c>
      <c r="B284" t="s">
        <v>935</v>
      </c>
      <c r="C284" t="s">
        <v>1032</v>
      </c>
      <c r="D284" t="s">
        <v>1039</v>
      </c>
      <c r="E284">
        <v>12000</v>
      </c>
      <c r="F284">
        <v>0.23</v>
      </c>
      <c r="G284" t="s">
        <v>1027</v>
      </c>
      <c r="H284">
        <v>0</v>
      </c>
    </row>
    <row r="285" spans="1:8" x14ac:dyDescent="0.25">
      <c r="A285" t="s">
        <v>1324</v>
      </c>
      <c r="B285" t="s">
        <v>756</v>
      </c>
      <c r="C285" t="s">
        <v>1041</v>
      </c>
      <c r="D285" t="s">
        <v>1039</v>
      </c>
      <c r="E285">
        <v>79000</v>
      </c>
      <c r="F285">
        <v>0.55000000000000004</v>
      </c>
      <c r="G285" t="s">
        <v>1036</v>
      </c>
      <c r="H285">
        <v>1</v>
      </c>
    </row>
    <row r="286" spans="1:8" x14ac:dyDescent="0.25">
      <c r="A286" t="s">
        <v>1325</v>
      </c>
      <c r="B286" t="s">
        <v>586</v>
      </c>
      <c r="C286" t="s">
        <v>1029</v>
      </c>
      <c r="D286" t="s">
        <v>1030</v>
      </c>
      <c r="E286">
        <v>61000</v>
      </c>
      <c r="F286">
        <v>0.52</v>
      </c>
      <c r="G286" t="s">
        <v>1027</v>
      </c>
      <c r="H286">
        <v>0</v>
      </c>
    </row>
    <row r="287" spans="1:8" x14ac:dyDescent="0.25">
      <c r="A287" t="s">
        <v>1326</v>
      </c>
      <c r="B287" t="s">
        <v>782</v>
      </c>
      <c r="C287" t="s">
        <v>1029</v>
      </c>
      <c r="D287" t="s">
        <v>1030</v>
      </c>
      <c r="E287">
        <v>38000</v>
      </c>
      <c r="F287">
        <v>0.44</v>
      </c>
      <c r="G287" t="s">
        <v>1027</v>
      </c>
      <c r="H287">
        <v>0</v>
      </c>
    </row>
    <row r="288" spans="1:8" x14ac:dyDescent="0.25">
      <c r="A288" t="s">
        <v>1327</v>
      </c>
      <c r="B288" t="s">
        <v>887</v>
      </c>
      <c r="C288" t="s">
        <v>1041</v>
      </c>
      <c r="D288" t="s">
        <v>1030</v>
      </c>
      <c r="E288">
        <v>30000</v>
      </c>
      <c r="F288">
        <v>0.39</v>
      </c>
      <c r="G288" t="s">
        <v>1027</v>
      </c>
      <c r="H288">
        <v>0</v>
      </c>
    </row>
    <row r="289" spans="1:8" x14ac:dyDescent="0.25">
      <c r="A289" t="s">
        <v>1328</v>
      </c>
      <c r="B289" t="s">
        <v>821</v>
      </c>
      <c r="C289" t="s">
        <v>1049</v>
      </c>
      <c r="D289" t="s">
        <v>1039</v>
      </c>
      <c r="E289">
        <v>37000</v>
      </c>
      <c r="F289">
        <v>0.34</v>
      </c>
      <c r="G289" t="s">
        <v>1036</v>
      </c>
      <c r="H289">
        <v>1</v>
      </c>
    </row>
    <row r="290" spans="1:8" x14ac:dyDescent="0.25">
      <c r="A290" t="s">
        <v>1329</v>
      </c>
      <c r="B290" t="s">
        <v>832</v>
      </c>
      <c r="C290" t="s">
        <v>1053</v>
      </c>
      <c r="D290" t="s">
        <v>1030</v>
      </c>
      <c r="E290">
        <v>14000</v>
      </c>
      <c r="F290">
        <v>0.5</v>
      </c>
      <c r="G290" t="s">
        <v>1027</v>
      </c>
      <c r="H290">
        <v>0</v>
      </c>
    </row>
    <row r="291" spans="1:8" x14ac:dyDescent="0.25">
      <c r="A291" t="s">
        <v>1330</v>
      </c>
      <c r="B291" t="s">
        <v>622</v>
      </c>
      <c r="C291" t="s">
        <v>1032</v>
      </c>
      <c r="D291" t="s">
        <v>1035</v>
      </c>
      <c r="E291">
        <v>83000</v>
      </c>
      <c r="F291">
        <v>0.39</v>
      </c>
      <c r="G291" t="s">
        <v>1027</v>
      </c>
      <c r="H291">
        <v>0</v>
      </c>
    </row>
    <row r="292" spans="1:8" x14ac:dyDescent="0.25">
      <c r="A292" t="s">
        <v>1331</v>
      </c>
      <c r="B292" t="s">
        <v>1018</v>
      </c>
      <c r="C292" t="s">
        <v>1029</v>
      </c>
      <c r="D292" t="s">
        <v>1039</v>
      </c>
      <c r="E292">
        <v>61000</v>
      </c>
      <c r="F292">
        <v>0.38</v>
      </c>
      <c r="G292" t="s">
        <v>1036</v>
      </c>
      <c r="H292">
        <v>1</v>
      </c>
    </row>
    <row r="293" spans="1:8" x14ac:dyDescent="0.25">
      <c r="A293" t="s">
        <v>1332</v>
      </c>
      <c r="B293" t="s">
        <v>814</v>
      </c>
      <c r="C293" t="s">
        <v>1041</v>
      </c>
      <c r="D293" t="s">
        <v>1035</v>
      </c>
      <c r="E293">
        <v>89000</v>
      </c>
      <c r="F293">
        <v>0.37</v>
      </c>
      <c r="G293" t="s">
        <v>1027</v>
      </c>
      <c r="H293">
        <v>0</v>
      </c>
    </row>
    <row r="294" spans="1:8" x14ac:dyDescent="0.25">
      <c r="A294" t="s">
        <v>1333</v>
      </c>
      <c r="B294" t="s">
        <v>729</v>
      </c>
      <c r="C294" t="s">
        <v>1029</v>
      </c>
      <c r="D294" t="s">
        <v>1039</v>
      </c>
      <c r="E294">
        <v>69000</v>
      </c>
      <c r="F294">
        <v>0.24</v>
      </c>
      <c r="G294" t="s">
        <v>1027</v>
      </c>
      <c r="H294">
        <v>0</v>
      </c>
    </row>
    <row r="295" spans="1:8" x14ac:dyDescent="0.25">
      <c r="A295" t="s">
        <v>1334</v>
      </c>
      <c r="B295" t="s">
        <v>651</v>
      </c>
      <c r="C295" t="s">
        <v>1053</v>
      </c>
      <c r="D295" t="s">
        <v>1039</v>
      </c>
      <c r="E295">
        <v>15000</v>
      </c>
      <c r="F295">
        <v>0.4</v>
      </c>
      <c r="G295" t="s">
        <v>1027</v>
      </c>
      <c r="H295">
        <v>0</v>
      </c>
    </row>
    <row r="296" spans="1:8" x14ac:dyDescent="0.25">
      <c r="A296" t="s">
        <v>1335</v>
      </c>
      <c r="B296" t="s">
        <v>792</v>
      </c>
      <c r="C296" t="s">
        <v>1041</v>
      </c>
      <c r="D296" t="s">
        <v>1035</v>
      </c>
      <c r="E296">
        <v>93000</v>
      </c>
      <c r="F296">
        <v>0.36</v>
      </c>
      <c r="G296" t="s">
        <v>1027</v>
      </c>
      <c r="H296">
        <v>0</v>
      </c>
    </row>
    <row r="297" spans="1:8" x14ac:dyDescent="0.25">
      <c r="A297" t="s">
        <v>1336</v>
      </c>
      <c r="B297" t="s">
        <v>880</v>
      </c>
      <c r="C297" t="s">
        <v>1053</v>
      </c>
      <c r="D297" t="s">
        <v>1039</v>
      </c>
      <c r="E297">
        <v>76000</v>
      </c>
      <c r="F297">
        <v>0.15</v>
      </c>
      <c r="G297" t="s">
        <v>1027</v>
      </c>
      <c r="H297">
        <v>0</v>
      </c>
    </row>
    <row r="298" spans="1:8" x14ac:dyDescent="0.25">
      <c r="A298" t="s">
        <v>1337</v>
      </c>
      <c r="B298" t="s">
        <v>998</v>
      </c>
      <c r="C298" t="s">
        <v>1032</v>
      </c>
      <c r="D298" t="s">
        <v>1039</v>
      </c>
      <c r="E298">
        <v>98000</v>
      </c>
      <c r="F298">
        <v>0.38</v>
      </c>
      <c r="G298" t="s">
        <v>1036</v>
      </c>
      <c r="H298">
        <v>1</v>
      </c>
    </row>
    <row r="299" spans="1:8" x14ac:dyDescent="0.25">
      <c r="A299" t="s">
        <v>1338</v>
      </c>
      <c r="B299" t="s">
        <v>866</v>
      </c>
      <c r="C299" t="s">
        <v>1041</v>
      </c>
      <c r="D299" t="s">
        <v>1030</v>
      </c>
      <c r="E299">
        <v>49000</v>
      </c>
      <c r="F299">
        <v>0.37</v>
      </c>
      <c r="G299" t="s">
        <v>1027</v>
      </c>
      <c r="H299">
        <v>0</v>
      </c>
    </row>
    <row r="300" spans="1:8" x14ac:dyDescent="0.25">
      <c r="A300" t="s">
        <v>1339</v>
      </c>
      <c r="B300" t="s">
        <v>887</v>
      </c>
      <c r="C300" t="s">
        <v>1041</v>
      </c>
      <c r="D300" t="s">
        <v>1030</v>
      </c>
      <c r="E300">
        <v>95000</v>
      </c>
      <c r="F300">
        <v>0.2</v>
      </c>
      <c r="G300" t="s">
        <v>1027</v>
      </c>
      <c r="H300">
        <v>0</v>
      </c>
    </row>
    <row r="301" spans="1:8" x14ac:dyDescent="0.25">
      <c r="A301" t="s">
        <v>1340</v>
      </c>
      <c r="B301" t="s">
        <v>589</v>
      </c>
      <c r="C301" t="s">
        <v>1034</v>
      </c>
      <c r="D301" t="s">
        <v>1026</v>
      </c>
      <c r="E301">
        <v>24000</v>
      </c>
      <c r="F301">
        <v>0.55000000000000004</v>
      </c>
      <c r="G301" t="s">
        <v>1027</v>
      </c>
      <c r="H301">
        <v>0</v>
      </c>
    </row>
    <row r="302" spans="1:8" x14ac:dyDescent="0.25">
      <c r="A302" t="s">
        <v>1341</v>
      </c>
      <c r="B302" t="s">
        <v>603</v>
      </c>
      <c r="C302" t="s">
        <v>1053</v>
      </c>
      <c r="D302" t="s">
        <v>1030</v>
      </c>
      <c r="E302">
        <v>77000</v>
      </c>
      <c r="F302">
        <v>0.17</v>
      </c>
      <c r="G302" t="s">
        <v>1027</v>
      </c>
      <c r="H302">
        <v>0</v>
      </c>
    </row>
    <row r="303" spans="1:8" x14ac:dyDescent="0.25">
      <c r="A303" t="s">
        <v>1342</v>
      </c>
      <c r="B303" t="s">
        <v>776</v>
      </c>
      <c r="C303" t="s">
        <v>1065</v>
      </c>
      <c r="D303" t="s">
        <v>1039</v>
      </c>
      <c r="E303">
        <v>98000</v>
      </c>
      <c r="F303">
        <v>0.55000000000000004</v>
      </c>
      <c r="G303" t="s">
        <v>1027</v>
      </c>
      <c r="H303">
        <v>0</v>
      </c>
    </row>
    <row r="304" spans="1:8" x14ac:dyDescent="0.25">
      <c r="A304" t="s">
        <v>1343</v>
      </c>
      <c r="B304" t="s">
        <v>732</v>
      </c>
      <c r="C304" t="s">
        <v>1065</v>
      </c>
      <c r="D304" t="s">
        <v>1039</v>
      </c>
      <c r="E304">
        <v>32000</v>
      </c>
      <c r="F304">
        <v>0.42</v>
      </c>
      <c r="G304" t="s">
        <v>1027</v>
      </c>
      <c r="H304">
        <v>0</v>
      </c>
    </row>
    <row r="305" spans="1:8" x14ac:dyDescent="0.25">
      <c r="A305" t="s">
        <v>1344</v>
      </c>
      <c r="B305" t="s">
        <v>712</v>
      </c>
      <c r="C305" t="s">
        <v>1034</v>
      </c>
      <c r="D305" t="s">
        <v>1035</v>
      </c>
      <c r="E305">
        <v>66000</v>
      </c>
      <c r="F305">
        <v>0.26</v>
      </c>
      <c r="G305" t="s">
        <v>1036</v>
      </c>
      <c r="H305">
        <v>1</v>
      </c>
    </row>
    <row r="306" spans="1:8" x14ac:dyDescent="0.25">
      <c r="A306" t="s">
        <v>1345</v>
      </c>
      <c r="B306" t="s">
        <v>941</v>
      </c>
      <c r="C306" t="s">
        <v>1053</v>
      </c>
      <c r="D306" t="s">
        <v>1035</v>
      </c>
      <c r="E306">
        <v>27000</v>
      </c>
      <c r="F306">
        <v>0.27</v>
      </c>
      <c r="G306" t="s">
        <v>1027</v>
      </c>
      <c r="H306">
        <v>0</v>
      </c>
    </row>
    <row r="307" spans="1:8" x14ac:dyDescent="0.25">
      <c r="A307" t="s">
        <v>1346</v>
      </c>
      <c r="B307" t="s">
        <v>617</v>
      </c>
      <c r="C307" t="s">
        <v>1065</v>
      </c>
      <c r="D307" t="s">
        <v>1026</v>
      </c>
      <c r="E307">
        <v>12000</v>
      </c>
      <c r="F307">
        <v>0.18</v>
      </c>
      <c r="G307" t="s">
        <v>1027</v>
      </c>
      <c r="H307">
        <v>0</v>
      </c>
    </row>
    <row r="308" spans="1:8" x14ac:dyDescent="0.25">
      <c r="A308" t="s">
        <v>1347</v>
      </c>
      <c r="B308" t="s">
        <v>894</v>
      </c>
      <c r="C308" t="s">
        <v>1055</v>
      </c>
      <c r="D308" t="s">
        <v>1039</v>
      </c>
      <c r="E308">
        <v>80000</v>
      </c>
      <c r="F308">
        <v>0.26</v>
      </c>
      <c r="G308" t="s">
        <v>1027</v>
      </c>
      <c r="H308">
        <v>0</v>
      </c>
    </row>
    <row r="309" spans="1:8" x14ac:dyDescent="0.25">
      <c r="A309" t="s">
        <v>1348</v>
      </c>
      <c r="B309" t="s">
        <v>630</v>
      </c>
      <c r="C309" t="s">
        <v>1041</v>
      </c>
      <c r="D309" t="s">
        <v>1039</v>
      </c>
      <c r="E309">
        <v>40000</v>
      </c>
      <c r="F309">
        <v>0.15</v>
      </c>
      <c r="G309" t="s">
        <v>1036</v>
      </c>
      <c r="H309">
        <v>1</v>
      </c>
    </row>
    <row r="310" spans="1:8" x14ac:dyDescent="0.25">
      <c r="A310" t="s">
        <v>1349</v>
      </c>
      <c r="B310" t="s">
        <v>1007</v>
      </c>
      <c r="C310" t="s">
        <v>1038</v>
      </c>
      <c r="D310" t="s">
        <v>1026</v>
      </c>
      <c r="E310">
        <v>54000</v>
      </c>
      <c r="F310">
        <v>0.41</v>
      </c>
      <c r="G310" t="s">
        <v>1027</v>
      </c>
      <c r="H310">
        <v>0</v>
      </c>
    </row>
    <row r="311" spans="1:8" x14ac:dyDescent="0.25">
      <c r="A311" t="s">
        <v>1350</v>
      </c>
      <c r="B311" t="s">
        <v>818</v>
      </c>
      <c r="C311" t="s">
        <v>1041</v>
      </c>
      <c r="D311" t="s">
        <v>1030</v>
      </c>
      <c r="E311">
        <v>83000</v>
      </c>
      <c r="F311">
        <v>0.43</v>
      </c>
      <c r="G311" t="s">
        <v>1036</v>
      </c>
      <c r="H311">
        <v>1</v>
      </c>
    </row>
    <row r="312" spans="1:8" x14ac:dyDescent="0.25">
      <c r="A312" t="s">
        <v>1351</v>
      </c>
      <c r="B312" t="s">
        <v>919</v>
      </c>
      <c r="C312" t="s">
        <v>1055</v>
      </c>
      <c r="D312" t="s">
        <v>1035</v>
      </c>
      <c r="E312">
        <v>59000</v>
      </c>
      <c r="F312">
        <v>0.37</v>
      </c>
      <c r="G312" t="s">
        <v>1036</v>
      </c>
      <c r="H312">
        <v>1</v>
      </c>
    </row>
    <row r="313" spans="1:8" x14ac:dyDescent="0.25">
      <c r="A313" t="s">
        <v>1352</v>
      </c>
      <c r="B313" t="s">
        <v>874</v>
      </c>
      <c r="C313" t="s">
        <v>1055</v>
      </c>
      <c r="D313" t="s">
        <v>1030</v>
      </c>
      <c r="E313">
        <v>87000</v>
      </c>
      <c r="F313">
        <v>0.35</v>
      </c>
      <c r="G313" t="s">
        <v>1036</v>
      </c>
      <c r="H313">
        <v>1</v>
      </c>
    </row>
    <row r="314" spans="1:8" x14ac:dyDescent="0.25">
      <c r="A314" t="s">
        <v>1353</v>
      </c>
      <c r="B314" t="s">
        <v>572</v>
      </c>
      <c r="C314" t="s">
        <v>1053</v>
      </c>
      <c r="D314" t="s">
        <v>1035</v>
      </c>
      <c r="E314">
        <v>24000</v>
      </c>
      <c r="F314">
        <v>0.46</v>
      </c>
      <c r="G314" t="s">
        <v>1027</v>
      </c>
      <c r="H314">
        <v>0</v>
      </c>
    </row>
    <row r="315" spans="1:8" x14ac:dyDescent="0.25">
      <c r="A315" t="s">
        <v>1354</v>
      </c>
      <c r="B315" t="s">
        <v>609</v>
      </c>
      <c r="C315" t="s">
        <v>1032</v>
      </c>
      <c r="D315" t="s">
        <v>1035</v>
      </c>
      <c r="E315">
        <v>48000</v>
      </c>
      <c r="F315">
        <v>0.27</v>
      </c>
      <c r="G315" t="s">
        <v>1027</v>
      </c>
      <c r="H315">
        <v>0</v>
      </c>
    </row>
    <row r="316" spans="1:8" x14ac:dyDescent="0.25">
      <c r="A316" t="s">
        <v>1355</v>
      </c>
      <c r="B316" t="s">
        <v>1001</v>
      </c>
      <c r="C316" t="s">
        <v>1029</v>
      </c>
      <c r="D316" t="s">
        <v>1030</v>
      </c>
      <c r="E316">
        <v>75000</v>
      </c>
      <c r="F316">
        <v>0.53</v>
      </c>
      <c r="G316" t="s">
        <v>1027</v>
      </c>
      <c r="H316">
        <v>0</v>
      </c>
    </row>
    <row r="317" spans="1:8" x14ac:dyDescent="0.25">
      <c r="A317" t="s">
        <v>1356</v>
      </c>
      <c r="B317" t="s">
        <v>894</v>
      </c>
      <c r="C317" t="s">
        <v>1053</v>
      </c>
      <c r="D317" t="s">
        <v>1039</v>
      </c>
      <c r="E317">
        <v>17000</v>
      </c>
      <c r="F317">
        <v>0.46</v>
      </c>
      <c r="G317" t="s">
        <v>1027</v>
      </c>
      <c r="H317">
        <v>0</v>
      </c>
    </row>
    <row r="318" spans="1:8" x14ac:dyDescent="0.25">
      <c r="A318" t="s">
        <v>1357</v>
      </c>
      <c r="B318" t="s">
        <v>1000</v>
      </c>
      <c r="C318" t="s">
        <v>1034</v>
      </c>
      <c r="D318" t="s">
        <v>1026</v>
      </c>
      <c r="E318">
        <v>33000</v>
      </c>
      <c r="F318">
        <v>0.55000000000000004</v>
      </c>
      <c r="G318" t="s">
        <v>1027</v>
      </c>
      <c r="H318">
        <v>0</v>
      </c>
    </row>
    <row r="319" spans="1:8" x14ac:dyDescent="0.25">
      <c r="A319" t="s">
        <v>1358</v>
      </c>
      <c r="B319" t="s">
        <v>769</v>
      </c>
      <c r="C319" t="s">
        <v>1049</v>
      </c>
      <c r="D319" t="s">
        <v>1030</v>
      </c>
      <c r="E319">
        <v>95000</v>
      </c>
      <c r="F319">
        <v>0.42</v>
      </c>
      <c r="G319" t="s">
        <v>1027</v>
      </c>
      <c r="H319">
        <v>0</v>
      </c>
    </row>
    <row r="320" spans="1:8" x14ac:dyDescent="0.25">
      <c r="A320" t="s">
        <v>1359</v>
      </c>
      <c r="B320" t="s">
        <v>590</v>
      </c>
      <c r="C320" t="s">
        <v>1029</v>
      </c>
      <c r="D320" t="s">
        <v>1030</v>
      </c>
      <c r="E320">
        <v>62000</v>
      </c>
      <c r="F320">
        <v>0.28999999999999998</v>
      </c>
      <c r="G320" t="s">
        <v>1027</v>
      </c>
      <c r="H320">
        <v>0</v>
      </c>
    </row>
    <row r="321" spans="1:8" x14ac:dyDescent="0.25">
      <c r="A321" t="s">
        <v>1360</v>
      </c>
      <c r="B321" t="s">
        <v>811</v>
      </c>
      <c r="C321" t="s">
        <v>1029</v>
      </c>
      <c r="D321" t="s">
        <v>1035</v>
      </c>
      <c r="E321">
        <v>46000</v>
      </c>
      <c r="F321">
        <v>0.36</v>
      </c>
      <c r="G321" t="s">
        <v>1027</v>
      </c>
      <c r="H321">
        <v>0</v>
      </c>
    </row>
    <row r="322" spans="1:8" x14ac:dyDescent="0.25">
      <c r="A322" t="s">
        <v>1361</v>
      </c>
      <c r="B322" t="s">
        <v>909</v>
      </c>
      <c r="C322" t="s">
        <v>1032</v>
      </c>
      <c r="D322" t="s">
        <v>1035</v>
      </c>
      <c r="E322">
        <v>22000</v>
      </c>
      <c r="F322">
        <v>0.38</v>
      </c>
      <c r="G322" t="s">
        <v>1027</v>
      </c>
      <c r="H322">
        <v>0</v>
      </c>
    </row>
    <row r="323" spans="1:8" x14ac:dyDescent="0.25">
      <c r="A323" t="s">
        <v>1362</v>
      </c>
      <c r="B323" t="s">
        <v>607</v>
      </c>
      <c r="C323" t="s">
        <v>1049</v>
      </c>
      <c r="D323" t="s">
        <v>1026</v>
      </c>
      <c r="E323">
        <v>96000</v>
      </c>
      <c r="F323">
        <v>0.15</v>
      </c>
      <c r="G323" t="s">
        <v>1027</v>
      </c>
      <c r="H323">
        <v>0</v>
      </c>
    </row>
    <row r="324" spans="1:8" x14ac:dyDescent="0.25">
      <c r="A324" t="s">
        <v>1363</v>
      </c>
      <c r="B324" t="s">
        <v>981</v>
      </c>
      <c r="C324" t="s">
        <v>1029</v>
      </c>
      <c r="D324" t="s">
        <v>1030</v>
      </c>
      <c r="E324">
        <v>18000</v>
      </c>
      <c r="F324">
        <v>0.33</v>
      </c>
      <c r="G324" t="s">
        <v>1027</v>
      </c>
      <c r="H324">
        <v>0</v>
      </c>
    </row>
    <row r="325" spans="1:8" x14ac:dyDescent="0.25">
      <c r="A325" t="s">
        <v>1364</v>
      </c>
      <c r="B325" t="s">
        <v>581</v>
      </c>
      <c r="C325" t="s">
        <v>1041</v>
      </c>
      <c r="D325" t="s">
        <v>1039</v>
      </c>
      <c r="E325">
        <v>74000</v>
      </c>
      <c r="F325">
        <v>0.43</v>
      </c>
      <c r="G325" t="s">
        <v>1027</v>
      </c>
      <c r="H325">
        <v>0</v>
      </c>
    </row>
    <row r="326" spans="1:8" x14ac:dyDescent="0.25">
      <c r="A326" t="s">
        <v>1365</v>
      </c>
      <c r="B326" t="s">
        <v>662</v>
      </c>
      <c r="C326" t="s">
        <v>1053</v>
      </c>
      <c r="D326" t="s">
        <v>1035</v>
      </c>
      <c r="E326">
        <v>27000</v>
      </c>
      <c r="F326">
        <v>0.43</v>
      </c>
      <c r="G326" t="s">
        <v>1027</v>
      </c>
      <c r="H326">
        <v>0</v>
      </c>
    </row>
    <row r="327" spans="1:8" x14ac:dyDescent="0.25">
      <c r="A327" t="s">
        <v>1366</v>
      </c>
      <c r="B327" t="s">
        <v>925</v>
      </c>
      <c r="C327" t="s">
        <v>1041</v>
      </c>
      <c r="D327" t="s">
        <v>1039</v>
      </c>
      <c r="E327">
        <v>71000</v>
      </c>
      <c r="F327">
        <v>0.27</v>
      </c>
      <c r="G327" t="s">
        <v>1027</v>
      </c>
      <c r="H327">
        <v>0</v>
      </c>
    </row>
    <row r="328" spans="1:8" x14ac:dyDescent="0.25">
      <c r="A328" t="s">
        <v>1367</v>
      </c>
      <c r="B328" t="s">
        <v>630</v>
      </c>
      <c r="C328" t="s">
        <v>1053</v>
      </c>
      <c r="D328" t="s">
        <v>1035</v>
      </c>
      <c r="E328">
        <v>100000</v>
      </c>
      <c r="F328">
        <v>0.47</v>
      </c>
      <c r="G328" t="s">
        <v>1027</v>
      </c>
      <c r="H328">
        <v>0</v>
      </c>
    </row>
    <row r="329" spans="1:8" x14ac:dyDescent="0.25">
      <c r="A329" t="s">
        <v>1368</v>
      </c>
      <c r="B329" t="s">
        <v>886</v>
      </c>
      <c r="C329" t="s">
        <v>1029</v>
      </c>
      <c r="D329" t="s">
        <v>1026</v>
      </c>
      <c r="E329">
        <v>58000</v>
      </c>
      <c r="F329">
        <v>0.32</v>
      </c>
      <c r="G329" t="s">
        <v>1027</v>
      </c>
      <c r="H329">
        <v>0</v>
      </c>
    </row>
    <row r="330" spans="1:8" x14ac:dyDescent="0.25">
      <c r="A330" t="s">
        <v>1369</v>
      </c>
      <c r="B330" t="s">
        <v>852</v>
      </c>
      <c r="C330" t="s">
        <v>1029</v>
      </c>
      <c r="D330" t="s">
        <v>1039</v>
      </c>
      <c r="E330">
        <v>62000</v>
      </c>
      <c r="F330">
        <v>0.28000000000000003</v>
      </c>
      <c r="G330" t="s">
        <v>1036</v>
      </c>
      <c r="H330">
        <v>1</v>
      </c>
    </row>
    <row r="331" spans="1:8" x14ac:dyDescent="0.25">
      <c r="A331" t="s">
        <v>1370</v>
      </c>
      <c r="B331" t="s">
        <v>702</v>
      </c>
      <c r="C331" t="s">
        <v>1049</v>
      </c>
      <c r="D331" t="s">
        <v>1039</v>
      </c>
      <c r="E331">
        <v>48000</v>
      </c>
      <c r="F331">
        <v>0.24</v>
      </c>
      <c r="G331" t="s">
        <v>1027</v>
      </c>
      <c r="H331">
        <v>0</v>
      </c>
    </row>
    <row r="332" spans="1:8" x14ac:dyDescent="0.25">
      <c r="A332" t="s">
        <v>1371</v>
      </c>
      <c r="B332" t="s">
        <v>958</v>
      </c>
      <c r="C332" t="s">
        <v>1065</v>
      </c>
      <c r="D332" t="s">
        <v>1030</v>
      </c>
      <c r="E332">
        <v>18000</v>
      </c>
      <c r="F332">
        <v>0.25</v>
      </c>
      <c r="G332" t="s">
        <v>1027</v>
      </c>
      <c r="H332">
        <v>0</v>
      </c>
    </row>
    <row r="333" spans="1:8" x14ac:dyDescent="0.25">
      <c r="A333" t="s">
        <v>1372</v>
      </c>
      <c r="B333" t="s">
        <v>551</v>
      </c>
      <c r="C333" t="s">
        <v>1038</v>
      </c>
      <c r="D333" t="s">
        <v>1026</v>
      </c>
      <c r="E333">
        <v>97000</v>
      </c>
      <c r="F333">
        <v>0.51</v>
      </c>
      <c r="G333" t="s">
        <v>1027</v>
      </c>
      <c r="H333">
        <v>0</v>
      </c>
    </row>
    <row r="334" spans="1:8" x14ac:dyDescent="0.25">
      <c r="A334" t="s">
        <v>1373</v>
      </c>
      <c r="B334" t="s">
        <v>811</v>
      </c>
      <c r="C334" t="s">
        <v>1041</v>
      </c>
      <c r="D334" t="s">
        <v>1030</v>
      </c>
      <c r="E334">
        <v>27000</v>
      </c>
      <c r="F334">
        <v>0.44</v>
      </c>
      <c r="G334" t="s">
        <v>1036</v>
      </c>
      <c r="H334">
        <v>1</v>
      </c>
    </row>
    <row r="335" spans="1:8" x14ac:dyDescent="0.25">
      <c r="A335" t="s">
        <v>1374</v>
      </c>
      <c r="B335" t="s">
        <v>898</v>
      </c>
      <c r="C335" t="s">
        <v>1041</v>
      </c>
      <c r="D335" t="s">
        <v>1026</v>
      </c>
      <c r="E335">
        <v>45000</v>
      </c>
      <c r="F335">
        <v>0.41</v>
      </c>
      <c r="G335" t="s">
        <v>1027</v>
      </c>
      <c r="H335">
        <v>0</v>
      </c>
    </row>
    <row r="336" spans="1:8" x14ac:dyDescent="0.25">
      <c r="A336" t="s">
        <v>1375</v>
      </c>
      <c r="B336" t="s">
        <v>935</v>
      </c>
      <c r="C336" t="s">
        <v>1053</v>
      </c>
      <c r="D336" t="s">
        <v>1026</v>
      </c>
      <c r="E336">
        <v>18000</v>
      </c>
      <c r="F336">
        <v>0.24</v>
      </c>
      <c r="G336" t="s">
        <v>1027</v>
      </c>
      <c r="H336">
        <v>0</v>
      </c>
    </row>
    <row r="337" spans="1:8" x14ac:dyDescent="0.25">
      <c r="A337" t="s">
        <v>1376</v>
      </c>
      <c r="B337" t="s">
        <v>837</v>
      </c>
      <c r="C337" t="s">
        <v>1032</v>
      </c>
      <c r="D337" t="s">
        <v>1026</v>
      </c>
      <c r="E337">
        <v>73000</v>
      </c>
      <c r="F337">
        <v>0.38</v>
      </c>
      <c r="G337" t="s">
        <v>1027</v>
      </c>
      <c r="H337">
        <v>0</v>
      </c>
    </row>
    <row r="338" spans="1:8" x14ac:dyDescent="0.25">
      <c r="A338" t="s">
        <v>1377</v>
      </c>
      <c r="B338" t="s">
        <v>635</v>
      </c>
      <c r="C338" t="s">
        <v>1034</v>
      </c>
      <c r="D338" t="s">
        <v>1026</v>
      </c>
      <c r="E338">
        <v>34000</v>
      </c>
      <c r="F338">
        <v>0.45</v>
      </c>
      <c r="G338" t="s">
        <v>1027</v>
      </c>
      <c r="H338">
        <v>0</v>
      </c>
    </row>
    <row r="339" spans="1:8" x14ac:dyDescent="0.25">
      <c r="A339" t="s">
        <v>1378</v>
      </c>
      <c r="B339" t="s">
        <v>579</v>
      </c>
      <c r="C339" t="s">
        <v>1038</v>
      </c>
      <c r="D339" t="s">
        <v>1030</v>
      </c>
      <c r="E339">
        <v>82000</v>
      </c>
      <c r="F339">
        <v>0.36</v>
      </c>
      <c r="G339" t="s">
        <v>1027</v>
      </c>
      <c r="H339">
        <v>0</v>
      </c>
    </row>
    <row r="340" spans="1:8" x14ac:dyDescent="0.25">
      <c r="A340" t="s">
        <v>1379</v>
      </c>
      <c r="B340" t="s">
        <v>909</v>
      </c>
      <c r="C340" t="s">
        <v>1038</v>
      </c>
      <c r="D340" t="s">
        <v>1030</v>
      </c>
      <c r="E340">
        <v>37000</v>
      </c>
      <c r="F340">
        <v>0.22</v>
      </c>
      <c r="G340" t="s">
        <v>1027</v>
      </c>
      <c r="H340">
        <v>0</v>
      </c>
    </row>
    <row r="341" spans="1:8" x14ac:dyDescent="0.25">
      <c r="A341" t="s">
        <v>1380</v>
      </c>
      <c r="B341" t="s">
        <v>917</v>
      </c>
      <c r="C341" t="s">
        <v>1032</v>
      </c>
      <c r="D341" t="s">
        <v>1035</v>
      </c>
      <c r="E341">
        <v>27000</v>
      </c>
      <c r="F341">
        <v>0.35</v>
      </c>
      <c r="G341" t="s">
        <v>1036</v>
      </c>
      <c r="H341">
        <v>1</v>
      </c>
    </row>
    <row r="342" spans="1:8" x14ac:dyDescent="0.25">
      <c r="A342" t="s">
        <v>1381</v>
      </c>
      <c r="B342" t="s">
        <v>524</v>
      </c>
      <c r="C342" t="s">
        <v>1029</v>
      </c>
      <c r="D342" t="s">
        <v>1039</v>
      </c>
      <c r="E342">
        <v>15000</v>
      </c>
      <c r="F342">
        <v>0.51</v>
      </c>
      <c r="G342" t="s">
        <v>1027</v>
      </c>
      <c r="H342">
        <v>0</v>
      </c>
    </row>
    <row r="343" spans="1:8" x14ac:dyDescent="0.25">
      <c r="A343" t="s">
        <v>1382</v>
      </c>
      <c r="B343" t="s">
        <v>613</v>
      </c>
      <c r="C343" t="s">
        <v>1038</v>
      </c>
      <c r="D343" t="s">
        <v>1030</v>
      </c>
      <c r="E343">
        <v>36000</v>
      </c>
      <c r="F343">
        <v>0.41</v>
      </c>
      <c r="G343" t="s">
        <v>1036</v>
      </c>
      <c r="H343">
        <v>1</v>
      </c>
    </row>
    <row r="344" spans="1:8" x14ac:dyDescent="0.25">
      <c r="A344" t="s">
        <v>1383</v>
      </c>
      <c r="B344" t="s">
        <v>564</v>
      </c>
      <c r="C344" t="s">
        <v>1053</v>
      </c>
      <c r="D344" t="s">
        <v>1035</v>
      </c>
      <c r="E344">
        <v>95000</v>
      </c>
      <c r="F344">
        <v>0.31</v>
      </c>
      <c r="G344" t="s">
        <v>1027</v>
      </c>
      <c r="H344">
        <v>0</v>
      </c>
    </row>
    <row r="345" spans="1:8" x14ac:dyDescent="0.25">
      <c r="A345" t="s">
        <v>1384</v>
      </c>
      <c r="B345" t="s">
        <v>1011</v>
      </c>
      <c r="C345" t="s">
        <v>1025</v>
      </c>
      <c r="D345" t="s">
        <v>1026</v>
      </c>
      <c r="E345">
        <v>41000</v>
      </c>
      <c r="F345">
        <v>0.27</v>
      </c>
      <c r="G345" t="s">
        <v>1027</v>
      </c>
      <c r="H345">
        <v>0</v>
      </c>
    </row>
    <row r="346" spans="1:8" x14ac:dyDescent="0.25">
      <c r="A346" t="s">
        <v>1385</v>
      </c>
      <c r="B346" t="s">
        <v>724</v>
      </c>
      <c r="C346" t="s">
        <v>1025</v>
      </c>
      <c r="D346" t="s">
        <v>1039</v>
      </c>
      <c r="E346">
        <v>31000</v>
      </c>
      <c r="F346">
        <v>0.43</v>
      </c>
      <c r="G346" t="s">
        <v>1036</v>
      </c>
      <c r="H346">
        <v>1</v>
      </c>
    </row>
    <row r="347" spans="1:8" x14ac:dyDescent="0.25">
      <c r="A347" t="s">
        <v>1386</v>
      </c>
      <c r="B347" t="s">
        <v>910</v>
      </c>
      <c r="C347" t="s">
        <v>1055</v>
      </c>
      <c r="D347" t="s">
        <v>1039</v>
      </c>
      <c r="E347">
        <v>14000</v>
      </c>
      <c r="F347">
        <v>0.3</v>
      </c>
      <c r="G347" t="s">
        <v>1027</v>
      </c>
      <c r="H347">
        <v>0</v>
      </c>
    </row>
    <row r="348" spans="1:8" x14ac:dyDescent="0.25">
      <c r="A348" t="s">
        <v>1387</v>
      </c>
      <c r="B348" t="s">
        <v>807</v>
      </c>
      <c r="C348" t="s">
        <v>1034</v>
      </c>
      <c r="D348" t="s">
        <v>1035</v>
      </c>
      <c r="E348">
        <v>43000</v>
      </c>
      <c r="F348">
        <v>0.2</v>
      </c>
      <c r="G348" t="s">
        <v>1027</v>
      </c>
      <c r="H348">
        <v>0</v>
      </c>
    </row>
    <row r="349" spans="1:8" x14ac:dyDescent="0.25">
      <c r="A349" t="s">
        <v>1388</v>
      </c>
      <c r="B349" t="s">
        <v>1006</v>
      </c>
      <c r="C349" t="s">
        <v>1041</v>
      </c>
      <c r="D349" t="s">
        <v>1030</v>
      </c>
      <c r="E349">
        <v>64000</v>
      </c>
      <c r="F349">
        <v>0.24</v>
      </c>
      <c r="G349" t="s">
        <v>1027</v>
      </c>
      <c r="H349">
        <v>0</v>
      </c>
    </row>
    <row r="350" spans="1:8" x14ac:dyDescent="0.25">
      <c r="A350" t="s">
        <v>1389</v>
      </c>
      <c r="B350" t="s">
        <v>716</v>
      </c>
      <c r="C350" t="s">
        <v>1032</v>
      </c>
      <c r="D350" t="s">
        <v>1035</v>
      </c>
      <c r="E350">
        <v>47000</v>
      </c>
      <c r="F350">
        <v>0.27</v>
      </c>
      <c r="G350" t="s">
        <v>1027</v>
      </c>
      <c r="H350">
        <v>0</v>
      </c>
    </row>
    <row r="351" spans="1:8" x14ac:dyDescent="0.25">
      <c r="A351" t="s">
        <v>1390</v>
      </c>
      <c r="B351" t="s">
        <v>845</v>
      </c>
      <c r="C351" t="s">
        <v>1038</v>
      </c>
      <c r="D351" t="s">
        <v>1030</v>
      </c>
      <c r="E351">
        <v>60000</v>
      </c>
      <c r="F351">
        <v>0.17</v>
      </c>
      <c r="G351" t="s">
        <v>1027</v>
      </c>
      <c r="H351">
        <v>0</v>
      </c>
    </row>
    <row r="352" spans="1:8" x14ac:dyDescent="0.25">
      <c r="A352" t="s">
        <v>1391</v>
      </c>
      <c r="B352" t="s">
        <v>904</v>
      </c>
      <c r="C352" t="s">
        <v>1038</v>
      </c>
      <c r="D352" t="s">
        <v>1035</v>
      </c>
      <c r="E352">
        <v>50000</v>
      </c>
      <c r="F352">
        <v>0.36</v>
      </c>
      <c r="G352" t="s">
        <v>1027</v>
      </c>
      <c r="H352">
        <v>0</v>
      </c>
    </row>
    <row r="353" spans="1:8" x14ac:dyDescent="0.25">
      <c r="A353" t="s">
        <v>1392</v>
      </c>
      <c r="B353" t="s">
        <v>945</v>
      </c>
      <c r="C353" t="s">
        <v>1025</v>
      </c>
      <c r="D353" t="s">
        <v>1039</v>
      </c>
      <c r="E353">
        <v>88000</v>
      </c>
      <c r="F353">
        <v>0.41</v>
      </c>
      <c r="G353" t="s">
        <v>1027</v>
      </c>
      <c r="H353">
        <v>0</v>
      </c>
    </row>
    <row r="354" spans="1:8" x14ac:dyDescent="0.25">
      <c r="A354" t="s">
        <v>1393</v>
      </c>
      <c r="B354" t="s">
        <v>997</v>
      </c>
      <c r="C354" t="s">
        <v>1034</v>
      </c>
      <c r="D354" t="s">
        <v>1035</v>
      </c>
      <c r="E354">
        <v>37000</v>
      </c>
      <c r="F354">
        <v>0.36</v>
      </c>
      <c r="G354" t="s">
        <v>1036</v>
      </c>
      <c r="H354">
        <v>1</v>
      </c>
    </row>
    <row r="355" spans="1:8" x14ac:dyDescent="0.25">
      <c r="A355" t="s">
        <v>1394</v>
      </c>
      <c r="B355" t="s">
        <v>805</v>
      </c>
      <c r="C355" t="s">
        <v>1038</v>
      </c>
      <c r="D355" t="s">
        <v>1026</v>
      </c>
      <c r="E355">
        <v>19000</v>
      </c>
      <c r="F355">
        <v>0.15</v>
      </c>
      <c r="G355" t="s">
        <v>1036</v>
      </c>
      <c r="H355">
        <v>1</v>
      </c>
    </row>
    <row r="356" spans="1:8" x14ac:dyDescent="0.25">
      <c r="A356" t="s">
        <v>1395</v>
      </c>
      <c r="B356" t="s">
        <v>547</v>
      </c>
      <c r="C356" t="s">
        <v>1055</v>
      </c>
      <c r="D356" t="s">
        <v>1035</v>
      </c>
      <c r="E356">
        <v>26000</v>
      </c>
      <c r="F356">
        <v>0.28000000000000003</v>
      </c>
      <c r="G356" t="s">
        <v>1027</v>
      </c>
      <c r="H356">
        <v>0</v>
      </c>
    </row>
    <row r="357" spans="1:8" x14ac:dyDescent="0.25">
      <c r="A357" t="s">
        <v>1396</v>
      </c>
      <c r="B357" t="s">
        <v>863</v>
      </c>
      <c r="C357" t="s">
        <v>1049</v>
      </c>
      <c r="D357" t="s">
        <v>1039</v>
      </c>
      <c r="E357">
        <v>77000</v>
      </c>
      <c r="F357">
        <v>0.37</v>
      </c>
      <c r="G357" t="s">
        <v>1027</v>
      </c>
      <c r="H357">
        <v>0</v>
      </c>
    </row>
    <row r="358" spans="1:8" x14ac:dyDescent="0.25">
      <c r="A358" t="s">
        <v>1397</v>
      </c>
      <c r="B358" t="s">
        <v>597</v>
      </c>
      <c r="C358" t="s">
        <v>1025</v>
      </c>
      <c r="D358" t="s">
        <v>1026</v>
      </c>
      <c r="E358">
        <v>83000</v>
      </c>
      <c r="F358">
        <v>0.47</v>
      </c>
      <c r="G358" t="s">
        <v>1027</v>
      </c>
      <c r="H358">
        <v>0</v>
      </c>
    </row>
    <row r="359" spans="1:8" x14ac:dyDescent="0.25">
      <c r="A359" t="s">
        <v>1398</v>
      </c>
      <c r="B359" t="s">
        <v>559</v>
      </c>
      <c r="C359" t="s">
        <v>1029</v>
      </c>
      <c r="D359" t="s">
        <v>1039</v>
      </c>
      <c r="E359">
        <v>71000</v>
      </c>
      <c r="F359">
        <v>0.42</v>
      </c>
      <c r="G359" t="s">
        <v>1027</v>
      </c>
      <c r="H359">
        <v>0</v>
      </c>
    </row>
    <row r="360" spans="1:8" x14ac:dyDescent="0.25">
      <c r="A360" t="s">
        <v>1399</v>
      </c>
      <c r="B360" t="s">
        <v>734</v>
      </c>
      <c r="C360" t="s">
        <v>1032</v>
      </c>
      <c r="D360" t="s">
        <v>1039</v>
      </c>
      <c r="E360">
        <v>41000</v>
      </c>
      <c r="F360">
        <v>0.32</v>
      </c>
      <c r="G360" t="s">
        <v>1027</v>
      </c>
      <c r="H360">
        <v>0</v>
      </c>
    </row>
    <row r="361" spans="1:8" x14ac:dyDescent="0.25">
      <c r="A361" t="s">
        <v>1400</v>
      </c>
      <c r="B361" t="s">
        <v>580</v>
      </c>
      <c r="C361" t="s">
        <v>1032</v>
      </c>
      <c r="D361" t="s">
        <v>1030</v>
      </c>
      <c r="E361">
        <v>27000</v>
      </c>
      <c r="F361">
        <v>0.45</v>
      </c>
      <c r="G361" t="s">
        <v>1027</v>
      </c>
      <c r="H361">
        <v>0</v>
      </c>
    </row>
    <row r="362" spans="1:8" x14ac:dyDescent="0.25">
      <c r="A362" t="s">
        <v>1401</v>
      </c>
      <c r="B362" t="s">
        <v>628</v>
      </c>
      <c r="C362" t="s">
        <v>1049</v>
      </c>
      <c r="D362" t="s">
        <v>1026</v>
      </c>
      <c r="E362">
        <v>81000</v>
      </c>
      <c r="F362">
        <v>0.46</v>
      </c>
      <c r="G362" t="s">
        <v>1027</v>
      </c>
      <c r="H362">
        <v>0</v>
      </c>
    </row>
    <row r="363" spans="1:8" x14ac:dyDescent="0.25">
      <c r="A363" t="s">
        <v>1402</v>
      </c>
      <c r="B363" t="s">
        <v>767</v>
      </c>
      <c r="C363" t="s">
        <v>1053</v>
      </c>
      <c r="D363" t="s">
        <v>1035</v>
      </c>
      <c r="E363">
        <v>11000</v>
      </c>
      <c r="F363">
        <v>0.16</v>
      </c>
      <c r="G363" t="s">
        <v>1027</v>
      </c>
      <c r="H363">
        <v>0</v>
      </c>
    </row>
    <row r="364" spans="1:8" x14ac:dyDescent="0.25">
      <c r="A364" t="s">
        <v>1403</v>
      </c>
      <c r="B364" t="s">
        <v>1015</v>
      </c>
      <c r="C364" t="s">
        <v>1055</v>
      </c>
      <c r="D364" t="s">
        <v>1026</v>
      </c>
      <c r="E364">
        <v>75000</v>
      </c>
      <c r="F364">
        <v>0.38</v>
      </c>
      <c r="G364" t="s">
        <v>1027</v>
      </c>
      <c r="H364">
        <v>0</v>
      </c>
    </row>
    <row r="365" spans="1:8" x14ac:dyDescent="0.25">
      <c r="A365" t="s">
        <v>1404</v>
      </c>
      <c r="B365" t="s">
        <v>691</v>
      </c>
      <c r="C365" t="s">
        <v>1032</v>
      </c>
      <c r="D365" t="s">
        <v>1035</v>
      </c>
      <c r="E365">
        <v>97000</v>
      </c>
      <c r="F365">
        <v>0.54</v>
      </c>
      <c r="G365" t="s">
        <v>1027</v>
      </c>
      <c r="H365">
        <v>0</v>
      </c>
    </row>
    <row r="366" spans="1:8" x14ac:dyDescent="0.25">
      <c r="A366" t="s">
        <v>1405</v>
      </c>
      <c r="B366" t="s">
        <v>715</v>
      </c>
      <c r="C366" t="s">
        <v>1034</v>
      </c>
      <c r="D366" t="s">
        <v>1030</v>
      </c>
      <c r="E366">
        <v>47000</v>
      </c>
      <c r="F366">
        <v>0.26</v>
      </c>
      <c r="G366" t="s">
        <v>1027</v>
      </c>
      <c r="H366">
        <v>0</v>
      </c>
    </row>
    <row r="367" spans="1:8" x14ac:dyDescent="0.25">
      <c r="A367" t="s">
        <v>1406</v>
      </c>
      <c r="B367" t="s">
        <v>571</v>
      </c>
      <c r="C367" t="s">
        <v>1065</v>
      </c>
      <c r="D367" t="s">
        <v>1039</v>
      </c>
      <c r="E367">
        <v>77000</v>
      </c>
      <c r="F367">
        <v>0.49</v>
      </c>
      <c r="G367" t="s">
        <v>1027</v>
      </c>
      <c r="H367">
        <v>0</v>
      </c>
    </row>
    <row r="368" spans="1:8" x14ac:dyDescent="0.25">
      <c r="A368" t="s">
        <v>1407</v>
      </c>
      <c r="B368" t="s">
        <v>818</v>
      </c>
      <c r="C368" t="s">
        <v>1025</v>
      </c>
      <c r="D368" t="s">
        <v>1035</v>
      </c>
      <c r="E368">
        <v>23000</v>
      </c>
      <c r="F368">
        <v>0.49</v>
      </c>
      <c r="G368" t="s">
        <v>1027</v>
      </c>
      <c r="H368">
        <v>0</v>
      </c>
    </row>
    <row r="369" spans="1:8" x14ac:dyDescent="0.25">
      <c r="A369" t="s">
        <v>1408</v>
      </c>
      <c r="B369" t="s">
        <v>962</v>
      </c>
      <c r="C369" t="s">
        <v>1055</v>
      </c>
      <c r="D369" t="s">
        <v>1039</v>
      </c>
      <c r="E369">
        <v>68000</v>
      </c>
      <c r="F369">
        <v>0.36</v>
      </c>
      <c r="G369" t="s">
        <v>1036</v>
      </c>
      <c r="H369">
        <v>1</v>
      </c>
    </row>
    <row r="370" spans="1:8" x14ac:dyDescent="0.25">
      <c r="A370" t="s">
        <v>1409</v>
      </c>
      <c r="B370" t="s">
        <v>953</v>
      </c>
      <c r="C370" t="s">
        <v>1055</v>
      </c>
      <c r="D370" t="s">
        <v>1026</v>
      </c>
      <c r="E370">
        <v>81000</v>
      </c>
      <c r="F370">
        <v>0.43</v>
      </c>
      <c r="G370" t="s">
        <v>1027</v>
      </c>
      <c r="H370">
        <v>0</v>
      </c>
    </row>
    <row r="371" spans="1:8" x14ac:dyDescent="0.25">
      <c r="A371" t="s">
        <v>1410</v>
      </c>
      <c r="B371" t="s">
        <v>1006</v>
      </c>
      <c r="C371" t="s">
        <v>1041</v>
      </c>
      <c r="D371" t="s">
        <v>1035</v>
      </c>
      <c r="E371">
        <v>34000</v>
      </c>
      <c r="F371">
        <v>0.48</v>
      </c>
      <c r="G371" t="s">
        <v>1027</v>
      </c>
      <c r="H371">
        <v>0</v>
      </c>
    </row>
    <row r="372" spans="1:8" x14ac:dyDescent="0.25">
      <c r="A372" t="s">
        <v>1411</v>
      </c>
      <c r="B372" t="s">
        <v>921</v>
      </c>
      <c r="C372" t="s">
        <v>1049</v>
      </c>
      <c r="D372" t="s">
        <v>1035</v>
      </c>
      <c r="E372">
        <v>71000</v>
      </c>
      <c r="F372">
        <v>0.24</v>
      </c>
      <c r="G372" t="s">
        <v>1027</v>
      </c>
      <c r="H372">
        <v>0</v>
      </c>
    </row>
    <row r="373" spans="1:8" x14ac:dyDescent="0.25">
      <c r="A373" t="s">
        <v>1412</v>
      </c>
      <c r="B373" t="s">
        <v>957</v>
      </c>
      <c r="C373" t="s">
        <v>1025</v>
      </c>
      <c r="D373" t="s">
        <v>1026</v>
      </c>
      <c r="E373">
        <v>86000</v>
      </c>
      <c r="F373">
        <v>0.33</v>
      </c>
      <c r="G373" t="s">
        <v>1036</v>
      </c>
      <c r="H373">
        <v>1</v>
      </c>
    </row>
    <row r="374" spans="1:8" x14ac:dyDescent="0.25">
      <c r="A374" t="s">
        <v>1413</v>
      </c>
      <c r="B374" t="s">
        <v>759</v>
      </c>
      <c r="C374" t="s">
        <v>1029</v>
      </c>
      <c r="D374" t="s">
        <v>1030</v>
      </c>
      <c r="E374">
        <v>41000</v>
      </c>
      <c r="F374">
        <v>0.4</v>
      </c>
      <c r="G374" t="s">
        <v>1027</v>
      </c>
      <c r="H374">
        <v>0</v>
      </c>
    </row>
    <row r="375" spans="1:8" x14ac:dyDescent="0.25">
      <c r="A375" t="s">
        <v>1414</v>
      </c>
      <c r="B375" t="s">
        <v>929</v>
      </c>
      <c r="C375" t="s">
        <v>1038</v>
      </c>
      <c r="D375" t="s">
        <v>1030</v>
      </c>
      <c r="E375">
        <v>75000</v>
      </c>
      <c r="F375">
        <v>0.54</v>
      </c>
      <c r="G375" t="s">
        <v>1027</v>
      </c>
      <c r="H375">
        <v>0</v>
      </c>
    </row>
    <row r="376" spans="1:8" x14ac:dyDescent="0.25">
      <c r="A376" t="s">
        <v>1415</v>
      </c>
      <c r="B376" t="s">
        <v>816</v>
      </c>
      <c r="C376" t="s">
        <v>1029</v>
      </c>
      <c r="D376" t="s">
        <v>1026</v>
      </c>
      <c r="E376">
        <v>95000</v>
      </c>
      <c r="F376">
        <v>0.24</v>
      </c>
      <c r="G376" t="s">
        <v>1036</v>
      </c>
      <c r="H376">
        <v>1</v>
      </c>
    </row>
    <row r="377" spans="1:8" x14ac:dyDescent="0.25">
      <c r="A377" t="s">
        <v>1416</v>
      </c>
      <c r="B377" t="s">
        <v>855</v>
      </c>
      <c r="C377" t="s">
        <v>1041</v>
      </c>
      <c r="D377" t="s">
        <v>1035</v>
      </c>
      <c r="E377">
        <v>85000</v>
      </c>
      <c r="F377">
        <v>0.18</v>
      </c>
      <c r="G377" t="s">
        <v>1027</v>
      </c>
      <c r="H377">
        <v>0</v>
      </c>
    </row>
    <row r="378" spans="1:8" x14ac:dyDescent="0.25">
      <c r="A378" t="s">
        <v>1417</v>
      </c>
      <c r="B378" t="s">
        <v>873</v>
      </c>
      <c r="C378" t="s">
        <v>1025</v>
      </c>
      <c r="D378" t="s">
        <v>1035</v>
      </c>
      <c r="E378">
        <v>25000</v>
      </c>
      <c r="F378">
        <v>0.49</v>
      </c>
      <c r="G378" t="s">
        <v>1027</v>
      </c>
      <c r="H378">
        <v>0</v>
      </c>
    </row>
    <row r="379" spans="1:8" x14ac:dyDescent="0.25">
      <c r="A379" t="s">
        <v>1418</v>
      </c>
      <c r="B379" t="s">
        <v>950</v>
      </c>
      <c r="C379" t="s">
        <v>1029</v>
      </c>
      <c r="D379" t="s">
        <v>1039</v>
      </c>
      <c r="E379">
        <v>97000</v>
      </c>
      <c r="F379">
        <v>0.53</v>
      </c>
      <c r="G379" t="s">
        <v>1027</v>
      </c>
      <c r="H379">
        <v>0</v>
      </c>
    </row>
    <row r="380" spans="1:8" x14ac:dyDescent="0.25">
      <c r="A380" t="s">
        <v>1419</v>
      </c>
      <c r="B380" t="s">
        <v>943</v>
      </c>
      <c r="C380" t="s">
        <v>1034</v>
      </c>
      <c r="D380" t="s">
        <v>1039</v>
      </c>
      <c r="E380">
        <v>91000</v>
      </c>
      <c r="F380">
        <v>0.2</v>
      </c>
      <c r="G380" t="s">
        <v>1036</v>
      </c>
      <c r="H380">
        <v>1</v>
      </c>
    </row>
    <row r="381" spans="1:8" x14ac:dyDescent="0.25">
      <c r="A381" t="s">
        <v>1420</v>
      </c>
      <c r="B381" t="s">
        <v>775</v>
      </c>
      <c r="C381" t="s">
        <v>1038</v>
      </c>
      <c r="D381" t="s">
        <v>1030</v>
      </c>
      <c r="E381">
        <v>100000</v>
      </c>
      <c r="F381">
        <v>0.54</v>
      </c>
      <c r="G381" t="s">
        <v>1027</v>
      </c>
      <c r="H381">
        <v>0</v>
      </c>
    </row>
    <row r="382" spans="1:8" x14ac:dyDescent="0.25">
      <c r="A382" t="s">
        <v>1421</v>
      </c>
      <c r="B382" t="s">
        <v>993</v>
      </c>
      <c r="C382" t="s">
        <v>1041</v>
      </c>
      <c r="D382" t="s">
        <v>1026</v>
      </c>
      <c r="E382">
        <v>69000</v>
      </c>
      <c r="F382">
        <v>0.28000000000000003</v>
      </c>
      <c r="G382" t="s">
        <v>1027</v>
      </c>
      <c r="H382">
        <v>0</v>
      </c>
    </row>
    <row r="383" spans="1:8" x14ac:dyDescent="0.25">
      <c r="A383" t="s">
        <v>1422</v>
      </c>
      <c r="B383" t="s">
        <v>726</v>
      </c>
      <c r="C383" t="s">
        <v>1049</v>
      </c>
      <c r="D383" t="s">
        <v>1030</v>
      </c>
      <c r="E383">
        <v>79000</v>
      </c>
      <c r="F383">
        <v>0.36</v>
      </c>
      <c r="G383" t="s">
        <v>1027</v>
      </c>
      <c r="H383">
        <v>0</v>
      </c>
    </row>
    <row r="384" spans="1:8" x14ac:dyDescent="0.25">
      <c r="A384" t="s">
        <v>1423</v>
      </c>
      <c r="B384" t="s">
        <v>831</v>
      </c>
      <c r="C384" t="s">
        <v>1038</v>
      </c>
      <c r="D384" t="s">
        <v>1035</v>
      </c>
      <c r="E384">
        <v>18000</v>
      </c>
      <c r="F384">
        <v>0.35</v>
      </c>
      <c r="G384" t="s">
        <v>1027</v>
      </c>
      <c r="H384">
        <v>0</v>
      </c>
    </row>
    <row r="385" spans="1:8" x14ac:dyDescent="0.25">
      <c r="A385" t="s">
        <v>1424</v>
      </c>
      <c r="B385" t="s">
        <v>687</v>
      </c>
      <c r="C385" t="s">
        <v>1049</v>
      </c>
      <c r="D385" t="s">
        <v>1030</v>
      </c>
      <c r="E385">
        <v>80000</v>
      </c>
      <c r="F385">
        <v>0.28999999999999998</v>
      </c>
      <c r="G385" t="s">
        <v>1027</v>
      </c>
      <c r="H385">
        <v>0</v>
      </c>
    </row>
    <row r="386" spans="1:8" x14ac:dyDescent="0.25">
      <c r="A386" t="s">
        <v>1425</v>
      </c>
      <c r="B386" t="s">
        <v>884</v>
      </c>
      <c r="C386" t="s">
        <v>1034</v>
      </c>
      <c r="D386" t="s">
        <v>1035</v>
      </c>
      <c r="E386">
        <v>45000</v>
      </c>
      <c r="F386">
        <v>0.28999999999999998</v>
      </c>
      <c r="G386" t="s">
        <v>1027</v>
      </c>
      <c r="H386">
        <v>0</v>
      </c>
    </row>
    <row r="387" spans="1:8" x14ac:dyDescent="0.25">
      <c r="A387" t="s">
        <v>1426</v>
      </c>
      <c r="B387" t="s">
        <v>979</v>
      </c>
      <c r="C387" t="s">
        <v>1034</v>
      </c>
      <c r="D387" t="s">
        <v>1030</v>
      </c>
      <c r="E387">
        <v>95000</v>
      </c>
      <c r="F387">
        <v>0.47</v>
      </c>
      <c r="G387" t="s">
        <v>1027</v>
      </c>
      <c r="H387">
        <v>0</v>
      </c>
    </row>
    <row r="388" spans="1:8" x14ac:dyDescent="0.25">
      <c r="A388" t="s">
        <v>1427</v>
      </c>
      <c r="B388" t="s">
        <v>634</v>
      </c>
      <c r="C388" t="s">
        <v>1053</v>
      </c>
      <c r="D388" t="s">
        <v>1030</v>
      </c>
      <c r="E388">
        <v>86000</v>
      </c>
      <c r="F388">
        <v>0.26</v>
      </c>
      <c r="G388" t="s">
        <v>1027</v>
      </c>
      <c r="H388">
        <v>0</v>
      </c>
    </row>
    <row r="389" spans="1:8" x14ac:dyDescent="0.25">
      <c r="A389" t="s">
        <v>1428</v>
      </c>
      <c r="B389" t="s">
        <v>627</v>
      </c>
      <c r="C389" t="s">
        <v>1041</v>
      </c>
      <c r="D389" t="s">
        <v>1035</v>
      </c>
      <c r="E389">
        <v>36000</v>
      </c>
      <c r="F389">
        <v>0.53</v>
      </c>
      <c r="G389" t="s">
        <v>1036</v>
      </c>
      <c r="H389">
        <v>1</v>
      </c>
    </row>
    <row r="390" spans="1:8" x14ac:dyDescent="0.25">
      <c r="A390" t="s">
        <v>1429</v>
      </c>
      <c r="B390" t="s">
        <v>668</v>
      </c>
      <c r="C390" t="s">
        <v>1041</v>
      </c>
      <c r="D390" t="s">
        <v>1039</v>
      </c>
      <c r="E390">
        <v>18000</v>
      </c>
      <c r="F390">
        <v>0.28000000000000003</v>
      </c>
      <c r="G390" t="s">
        <v>1027</v>
      </c>
      <c r="H390">
        <v>0</v>
      </c>
    </row>
    <row r="391" spans="1:8" x14ac:dyDescent="0.25">
      <c r="A391" t="s">
        <v>1430</v>
      </c>
      <c r="B391" t="s">
        <v>699</v>
      </c>
      <c r="C391" t="s">
        <v>1055</v>
      </c>
      <c r="D391" t="s">
        <v>1026</v>
      </c>
      <c r="E391">
        <v>65000</v>
      </c>
      <c r="F391">
        <v>0.39</v>
      </c>
      <c r="G391" t="s">
        <v>1027</v>
      </c>
      <c r="H391">
        <v>0</v>
      </c>
    </row>
    <row r="392" spans="1:8" x14ac:dyDescent="0.25">
      <c r="A392" t="s">
        <v>1431</v>
      </c>
      <c r="B392" t="s">
        <v>585</v>
      </c>
      <c r="C392" t="s">
        <v>1055</v>
      </c>
      <c r="D392" t="s">
        <v>1026</v>
      </c>
      <c r="E392">
        <v>71000</v>
      </c>
      <c r="F392">
        <v>0.38</v>
      </c>
      <c r="G392" t="s">
        <v>1036</v>
      </c>
      <c r="H392">
        <v>1</v>
      </c>
    </row>
    <row r="393" spans="1:8" x14ac:dyDescent="0.25">
      <c r="A393" t="s">
        <v>1432</v>
      </c>
      <c r="B393" t="s">
        <v>950</v>
      </c>
      <c r="C393" t="s">
        <v>1025</v>
      </c>
      <c r="D393" t="s">
        <v>1030</v>
      </c>
      <c r="E393">
        <v>76000</v>
      </c>
      <c r="F393">
        <v>0.54</v>
      </c>
      <c r="G393" t="s">
        <v>1027</v>
      </c>
      <c r="H393">
        <v>0</v>
      </c>
    </row>
    <row r="394" spans="1:8" x14ac:dyDescent="0.25">
      <c r="A394" t="s">
        <v>1433</v>
      </c>
      <c r="B394" t="s">
        <v>660</v>
      </c>
      <c r="C394" t="s">
        <v>1029</v>
      </c>
      <c r="D394" t="s">
        <v>1030</v>
      </c>
      <c r="E394">
        <v>20000</v>
      </c>
      <c r="F394">
        <v>0.43</v>
      </c>
      <c r="G394" t="s">
        <v>1027</v>
      </c>
      <c r="H394">
        <v>0</v>
      </c>
    </row>
    <row r="395" spans="1:8" x14ac:dyDescent="0.25">
      <c r="A395" t="s">
        <v>1434</v>
      </c>
      <c r="B395" t="s">
        <v>967</v>
      </c>
      <c r="C395" t="s">
        <v>1065</v>
      </c>
      <c r="D395" t="s">
        <v>1026</v>
      </c>
      <c r="E395">
        <v>67000</v>
      </c>
      <c r="F395">
        <v>0.2</v>
      </c>
      <c r="G395" t="s">
        <v>1027</v>
      </c>
      <c r="H395">
        <v>0</v>
      </c>
    </row>
    <row r="396" spans="1:8" x14ac:dyDescent="0.25">
      <c r="A396" t="s">
        <v>1435</v>
      </c>
      <c r="B396" t="s">
        <v>798</v>
      </c>
      <c r="C396" t="s">
        <v>1065</v>
      </c>
      <c r="D396" t="s">
        <v>1030</v>
      </c>
      <c r="E396">
        <v>65000</v>
      </c>
      <c r="F396">
        <v>0.33</v>
      </c>
      <c r="G396" t="s">
        <v>1027</v>
      </c>
      <c r="H396">
        <v>0</v>
      </c>
    </row>
    <row r="397" spans="1:8" x14ac:dyDescent="0.25">
      <c r="A397" t="s">
        <v>1436</v>
      </c>
      <c r="B397" t="s">
        <v>886</v>
      </c>
      <c r="C397" t="s">
        <v>1053</v>
      </c>
      <c r="D397" t="s">
        <v>1039</v>
      </c>
      <c r="E397">
        <v>11000</v>
      </c>
      <c r="F397">
        <v>0.52</v>
      </c>
      <c r="G397" t="s">
        <v>1027</v>
      </c>
      <c r="H397">
        <v>0</v>
      </c>
    </row>
    <row r="398" spans="1:8" x14ac:dyDescent="0.25">
      <c r="A398" t="s">
        <v>1437</v>
      </c>
      <c r="B398" t="s">
        <v>755</v>
      </c>
      <c r="C398" t="s">
        <v>1038</v>
      </c>
      <c r="D398" t="s">
        <v>1026</v>
      </c>
      <c r="E398">
        <v>12000</v>
      </c>
      <c r="F398">
        <v>0.46</v>
      </c>
      <c r="G398" t="s">
        <v>1036</v>
      </c>
      <c r="H398">
        <v>1</v>
      </c>
    </row>
    <row r="399" spans="1:8" x14ac:dyDescent="0.25">
      <c r="A399" t="s">
        <v>1438</v>
      </c>
      <c r="B399" t="s">
        <v>596</v>
      </c>
      <c r="C399" t="s">
        <v>1025</v>
      </c>
      <c r="D399" t="s">
        <v>1030</v>
      </c>
      <c r="E399">
        <v>53000</v>
      </c>
      <c r="F399">
        <v>0.23</v>
      </c>
      <c r="G399" t="s">
        <v>1027</v>
      </c>
      <c r="H399">
        <v>0</v>
      </c>
    </row>
    <row r="400" spans="1:8" x14ac:dyDescent="0.25">
      <c r="A400" t="s">
        <v>1439</v>
      </c>
      <c r="B400" t="s">
        <v>649</v>
      </c>
      <c r="C400" t="s">
        <v>1041</v>
      </c>
      <c r="D400" t="s">
        <v>1026</v>
      </c>
      <c r="E400">
        <v>87000</v>
      </c>
      <c r="F400">
        <v>0.42</v>
      </c>
      <c r="G400" t="s">
        <v>1027</v>
      </c>
      <c r="H400">
        <v>0</v>
      </c>
    </row>
    <row r="401" spans="1:8" x14ac:dyDescent="0.25">
      <c r="A401" t="s">
        <v>1440</v>
      </c>
      <c r="B401" t="s">
        <v>618</v>
      </c>
      <c r="C401" t="s">
        <v>1025</v>
      </c>
      <c r="D401" t="s">
        <v>1026</v>
      </c>
      <c r="E401">
        <v>85000</v>
      </c>
      <c r="F401">
        <v>0.41</v>
      </c>
      <c r="G401" t="s">
        <v>1036</v>
      </c>
      <c r="H401">
        <v>1</v>
      </c>
    </row>
    <row r="402" spans="1:8" x14ac:dyDescent="0.25">
      <c r="A402" t="s">
        <v>1441</v>
      </c>
      <c r="B402" t="s">
        <v>878</v>
      </c>
      <c r="C402" t="s">
        <v>1041</v>
      </c>
      <c r="D402" t="s">
        <v>1030</v>
      </c>
      <c r="E402">
        <v>28000</v>
      </c>
      <c r="F402">
        <v>0.23</v>
      </c>
      <c r="G402" t="s">
        <v>1027</v>
      </c>
      <c r="H402">
        <v>0</v>
      </c>
    </row>
    <row r="403" spans="1:8" x14ac:dyDescent="0.25">
      <c r="A403" t="s">
        <v>1442</v>
      </c>
      <c r="B403" t="s">
        <v>937</v>
      </c>
      <c r="C403" t="s">
        <v>1053</v>
      </c>
      <c r="D403" t="s">
        <v>1039</v>
      </c>
      <c r="E403">
        <v>13000</v>
      </c>
      <c r="F403">
        <v>0.33</v>
      </c>
      <c r="G403" t="s">
        <v>1027</v>
      </c>
      <c r="H403">
        <v>0</v>
      </c>
    </row>
    <row r="404" spans="1:8" x14ac:dyDescent="0.25">
      <c r="A404" t="s">
        <v>1443</v>
      </c>
      <c r="B404" t="s">
        <v>607</v>
      </c>
      <c r="C404" t="s">
        <v>1038</v>
      </c>
      <c r="D404" t="s">
        <v>1039</v>
      </c>
      <c r="E404">
        <v>28000</v>
      </c>
      <c r="F404">
        <v>0.49</v>
      </c>
      <c r="G404" t="s">
        <v>1027</v>
      </c>
      <c r="H404">
        <v>0</v>
      </c>
    </row>
    <row r="405" spans="1:8" x14ac:dyDescent="0.25">
      <c r="A405" t="s">
        <v>1444</v>
      </c>
      <c r="B405" t="s">
        <v>897</v>
      </c>
      <c r="C405" t="s">
        <v>1055</v>
      </c>
      <c r="D405" t="s">
        <v>1030</v>
      </c>
      <c r="E405">
        <v>94000</v>
      </c>
      <c r="F405">
        <v>0.16</v>
      </c>
      <c r="G405" t="s">
        <v>1036</v>
      </c>
      <c r="H405">
        <v>1</v>
      </c>
    </row>
    <row r="406" spans="1:8" x14ac:dyDescent="0.25">
      <c r="A406" t="s">
        <v>1445</v>
      </c>
      <c r="B406" t="s">
        <v>534</v>
      </c>
      <c r="C406" t="s">
        <v>1055</v>
      </c>
      <c r="D406" t="s">
        <v>1030</v>
      </c>
      <c r="E406">
        <v>67000</v>
      </c>
      <c r="F406">
        <v>0.47</v>
      </c>
      <c r="G406" t="s">
        <v>1027</v>
      </c>
      <c r="H406">
        <v>0</v>
      </c>
    </row>
    <row r="407" spans="1:8" x14ac:dyDescent="0.25">
      <c r="A407" t="s">
        <v>1446</v>
      </c>
      <c r="B407" t="s">
        <v>806</v>
      </c>
      <c r="C407" t="s">
        <v>1029</v>
      </c>
      <c r="D407" t="s">
        <v>1030</v>
      </c>
      <c r="E407">
        <v>98000</v>
      </c>
      <c r="F407">
        <v>0.37</v>
      </c>
      <c r="G407" t="s">
        <v>1027</v>
      </c>
      <c r="H407">
        <v>0</v>
      </c>
    </row>
    <row r="408" spans="1:8" x14ac:dyDescent="0.25">
      <c r="A408" t="s">
        <v>1447</v>
      </c>
      <c r="B408" t="s">
        <v>994</v>
      </c>
      <c r="C408" t="s">
        <v>1049</v>
      </c>
      <c r="D408" t="s">
        <v>1026</v>
      </c>
      <c r="E408">
        <v>61000</v>
      </c>
      <c r="F408">
        <v>0.4</v>
      </c>
      <c r="G408" t="s">
        <v>1027</v>
      </c>
      <c r="H408">
        <v>0</v>
      </c>
    </row>
    <row r="409" spans="1:8" x14ac:dyDescent="0.25">
      <c r="A409" t="s">
        <v>1448</v>
      </c>
      <c r="B409" t="s">
        <v>771</v>
      </c>
      <c r="C409" t="s">
        <v>1025</v>
      </c>
      <c r="D409" t="s">
        <v>1030</v>
      </c>
      <c r="E409">
        <v>98000</v>
      </c>
      <c r="F409">
        <v>0.32</v>
      </c>
      <c r="G409" t="s">
        <v>1027</v>
      </c>
      <c r="H409">
        <v>0</v>
      </c>
    </row>
    <row r="410" spans="1:8" x14ac:dyDescent="0.25">
      <c r="A410" t="s">
        <v>1449</v>
      </c>
      <c r="B410" t="s">
        <v>791</v>
      </c>
      <c r="C410" t="s">
        <v>1053</v>
      </c>
      <c r="D410" t="s">
        <v>1026</v>
      </c>
      <c r="E410">
        <v>62000</v>
      </c>
      <c r="F410">
        <v>0.2</v>
      </c>
      <c r="G410" t="s">
        <v>1027</v>
      </c>
      <c r="H410">
        <v>0</v>
      </c>
    </row>
    <row r="411" spans="1:8" x14ac:dyDescent="0.25">
      <c r="A411" t="s">
        <v>1450</v>
      </c>
      <c r="B411" t="s">
        <v>667</v>
      </c>
      <c r="C411" t="s">
        <v>1032</v>
      </c>
      <c r="D411" t="s">
        <v>1035</v>
      </c>
      <c r="E411">
        <v>24000</v>
      </c>
      <c r="F411">
        <v>0.43</v>
      </c>
      <c r="G411" t="s">
        <v>1027</v>
      </c>
      <c r="H411">
        <v>0</v>
      </c>
    </row>
    <row r="412" spans="1:8" x14ac:dyDescent="0.25">
      <c r="A412" t="s">
        <v>1451</v>
      </c>
      <c r="B412" t="s">
        <v>569</v>
      </c>
      <c r="C412" t="s">
        <v>1038</v>
      </c>
      <c r="D412" t="s">
        <v>1030</v>
      </c>
      <c r="E412">
        <v>47000</v>
      </c>
      <c r="F412">
        <v>0.42</v>
      </c>
      <c r="G412" t="s">
        <v>1027</v>
      </c>
      <c r="H412">
        <v>0</v>
      </c>
    </row>
    <row r="413" spans="1:8" x14ac:dyDescent="0.25">
      <c r="A413" t="s">
        <v>1452</v>
      </c>
      <c r="B413" t="s">
        <v>706</v>
      </c>
      <c r="C413" t="s">
        <v>1053</v>
      </c>
      <c r="D413" t="s">
        <v>1026</v>
      </c>
      <c r="E413">
        <v>29000</v>
      </c>
      <c r="F413">
        <v>0.42</v>
      </c>
      <c r="G413" t="s">
        <v>1027</v>
      </c>
      <c r="H413">
        <v>0</v>
      </c>
    </row>
    <row r="414" spans="1:8" x14ac:dyDescent="0.25">
      <c r="A414" t="s">
        <v>1453</v>
      </c>
      <c r="B414" t="s">
        <v>967</v>
      </c>
      <c r="C414" t="s">
        <v>1055</v>
      </c>
      <c r="D414" t="s">
        <v>1039</v>
      </c>
      <c r="E414">
        <v>16000</v>
      </c>
      <c r="F414">
        <v>0.33</v>
      </c>
      <c r="G414" t="s">
        <v>1027</v>
      </c>
      <c r="H414">
        <v>0</v>
      </c>
    </row>
    <row r="415" spans="1:8" x14ac:dyDescent="0.25">
      <c r="A415" t="s">
        <v>1454</v>
      </c>
      <c r="B415" t="s">
        <v>602</v>
      </c>
      <c r="C415" t="s">
        <v>1034</v>
      </c>
      <c r="D415" t="s">
        <v>1039</v>
      </c>
      <c r="E415">
        <v>31000</v>
      </c>
      <c r="F415">
        <v>0.26</v>
      </c>
      <c r="G415" t="s">
        <v>1027</v>
      </c>
      <c r="H415">
        <v>0</v>
      </c>
    </row>
    <row r="416" spans="1:8" x14ac:dyDescent="0.25">
      <c r="A416" t="s">
        <v>1455</v>
      </c>
      <c r="B416" t="s">
        <v>725</v>
      </c>
      <c r="C416" t="s">
        <v>1049</v>
      </c>
      <c r="D416" t="s">
        <v>1039</v>
      </c>
      <c r="E416">
        <v>87000</v>
      </c>
      <c r="F416">
        <v>0.55000000000000004</v>
      </c>
      <c r="G416" t="s">
        <v>1027</v>
      </c>
      <c r="H416">
        <v>0</v>
      </c>
    </row>
    <row r="417" spans="1:8" x14ac:dyDescent="0.25">
      <c r="A417" t="s">
        <v>1456</v>
      </c>
      <c r="B417" t="s">
        <v>967</v>
      </c>
      <c r="C417" t="s">
        <v>1038</v>
      </c>
      <c r="D417" t="s">
        <v>1035</v>
      </c>
      <c r="E417">
        <v>87000</v>
      </c>
      <c r="F417">
        <v>0.42</v>
      </c>
      <c r="G417" t="s">
        <v>1036</v>
      </c>
      <c r="H417">
        <v>1</v>
      </c>
    </row>
    <row r="418" spans="1:8" x14ac:dyDescent="0.25">
      <c r="A418" t="s">
        <v>1457</v>
      </c>
      <c r="B418" t="s">
        <v>883</v>
      </c>
      <c r="C418" t="s">
        <v>1032</v>
      </c>
      <c r="D418" t="s">
        <v>1039</v>
      </c>
      <c r="E418">
        <v>39000</v>
      </c>
      <c r="F418">
        <v>0.21</v>
      </c>
      <c r="G418" t="s">
        <v>1036</v>
      </c>
      <c r="H418">
        <v>1</v>
      </c>
    </row>
    <row r="419" spans="1:8" x14ac:dyDescent="0.25">
      <c r="A419" t="s">
        <v>1458</v>
      </c>
      <c r="B419" t="s">
        <v>569</v>
      </c>
      <c r="C419" t="s">
        <v>1065</v>
      </c>
      <c r="D419" t="s">
        <v>1039</v>
      </c>
      <c r="E419">
        <v>83000</v>
      </c>
      <c r="F419">
        <v>0.5</v>
      </c>
      <c r="G419" t="s">
        <v>1036</v>
      </c>
      <c r="H419">
        <v>1</v>
      </c>
    </row>
    <row r="420" spans="1:8" x14ac:dyDescent="0.25">
      <c r="A420" t="s">
        <v>1459</v>
      </c>
      <c r="B420" t="s">
        <v>623</v>
      </c>
      <c r="C420" t="s">
        <v>1053</v>
      </c>
      <c r="D420" t="s">
        <v>1030</v>
      </c>
      <c r="E420">
        <v>88000</v>
      </c>
      <c r="F420">
        <v>0.48</v>
      </c>
      <c r="G420" t="s">
        <v>1027</v>
      </c>
      <c r="H420">
        <v>0</v>
      </c>
    </row>
    <row r="421" spans="1:8" x14ac:dyDescent="0.25">
      <c r="A421" t="s">
        <v>1460</v>
      </c>
      <c r="B421" t="s">
        <v>549</v>
      </c>
      <c r="C421" t="s">
        <v>1025</v>
      </c>
      <c r="D421" t="s">
        <v>1035</v>
      </c>
      <c r="E421">
        <v>55000</v>
      </c>
      <c r="F421">
        <v>0.34</v>
      </c>
      <c r="G421" t="s">
        <v>1036</v>
      </c>
      <c r="H421">
        <v>1</v>
      </c>
    </row>
    <row r="422" spans="1:8" x14ac:dyDescent="0.25">
      <c r="A422" t="s">
        <v>1461</v>
      </c>
      <c r="B422" t="s">
        <v>698</v>
      </c>
      <c r="C422" t="s">
        <v>1032</v>
      </c>
      <c r="D422" t="s">
        <v>1035</v>
      </c>
      <c r="E422">
        <v>96000</v>
      </c>
      <c r="F422">
        <v>0.45</v>
      </c>
      <c r="G422" t="s">
        <v>1027</v>
      </c>
      <c r="H422">
        <v>0</v>
      </c>
    </row>
    <row r="423" spans="1:8" x14ac:dyDescent="0.25">
      <c r="A423" t="s">
        <v>1462</v>
      </c>
      <c r="B423" t="s">
        <v>953</v>
      </c>
      <c r="C423" t="s">
        <v>1032</v>
      </c>
      <c r="D423" t="s">
        <v>1039</v>
      </c>
      <c r="E423">
        <v>26000</v>
      </c>
      <c r="F423">
        <v>0.42</v>
      </c>
      <c r="G423" t="s">
        <v>1027</v>
      </c>
      <c r="H423">
        <v>0</v>
      </c>
    </row>
    <row r="424" spans="1:8" x14ac:dyDescent="0.25">
      <c r="A424" t="s">
        <v>1463</v>
      </c>
      <c r="B424" t="s">
        <v>558</v>
      </c>
      <c r="C424" t="s">
        <v>1053</v>
      </c>
      <c r="D424" t="s">
        <v>1026</v>
      </c>
      <c r="E424">
        <v>56000</v>
      </c>
      <c r="F424">
        <v>0.45</v>
      </c>
      <c r="G424" t="s">
        <v>1027</v>
      </c>
      <c r="H424">
        <v>0</v>
      </c>
    </row>
    <row r="425" spans="1:8" x14ac:dyDescent="0.25">
      <c r="A425" t="s">
        <v>1464</v>
      </c>
      <c r="B425" t="s">
        <v>837</v>
      </c>
      <c r="C425" t="s">
        <v>1032</v>
      </c>
      <c r="D425" t="s">
        <v>1026</v>
      </c>
      <c r="E425">
        <v>11000</v>
      </c>
      <c r="F425">
        <v>0.18</v>
      </c>
      <c r="G425" t="s">
        <v>1027</v>
      </c>
      <c r="H425">
        <v>0</v>
      </c>
    </row>
    <row r="426" spans="1:8" x14ac:dyDescent="0.25">
      <c r="A426" t="s">
        <v>1465</v>
      </c>
      <c r="B426" t="s">
        <v>826</v>
      </c>
      <c r="C426" t="s">
        <v>1065</v>
      </c>
      <c r="D426" t="s">
        <v>1026</v>
      </c>
      <c r="E426">
        <v>26000</v>
      </c>
      <c r="F426">
        <v>0.27</v>
      </c>
      <c r="G426" t="s">
        <v>1027</v>
      </c>
      <c r="H426">
        <v>0</v>
      </c>
    </row>
    <row r="427" spans="1:8" x14ac:dyDescent="0.25">
      <c r="A427" t="s">
        <v>1466</v>
      </c>
      <c r="B427" t="s">
        <v>715</v>
      </c>
      <c r="C427" t="s">
        <v>1034</v>
      </c>
      <c r="D427" t="s">
        <v>1026</v>
      </c>
      <c r="E427">
        <v>90000</v>
      </c>
      <c r="F427">
        <v>0.46</v>
      </c>
      <c r="G427" t="s">
        <v>1036</v>
      </c>
      <c r="H427">
        <v>1</v>
      </c>
    </row>
    <row r="428" spans="1:8" x14ac:dyDescent="0.25">
      <c r="A428" t="s">
        <v>1467</v>
      </c>
      <c r="B428" t="s">
        <v>594</v>
      </c>
      <c r="C428" t="s">
        <v>1065</v>
      </c>
      <c r="D428" t="s">
        <v>1026</v>
      </c>
      <c r="E428">
        <v>65000</v>
      </c>
      <c r="F428">
        <v>0.17</v>
      </c>
      <c r="G428" t="s">
        <v>1036</v>
      </c>
      <c r="H428">
        <v>1</v>
      </c>
    </row>
    <row r="429" spans="1:8" x14ac:dyDescent="0.25">
      <c r="A429" t="s">
        <v>1468</v>
      </c>
      <c r="B429" t="s">
        <v>977</v>
      </c>
      <c r="C429" t="s">
        <v>1025</v>
      </c>
      <c r="D429" t="s">
        <v>1039</v>
      </c>
      <c r="E429">
        <v>20000</v>
      </c>
      <c r="F429">
        <v>0.26</v>
      </c>
      <c r="G429" t="s">
        <v>1027</v>
      </c>
      <c r="H429">
        <v>0</v>
      </c>
    </row>
    <row r="430" spans="1:8" x14ac:dyDescent="0.25">
      <c r="A430" t="s">
        <v>1469</v>
      </c>
      <c r="B430" t="s">
        <v>863</v>
      </c>
      <c r="C430" t="s">
        <v>1038</v>
      </c>
      <c r="D430" t="s">
        <v>1026</v>
      </c>
      <c r="E430">
        <v>96000</v>
      </c>
      <c r="F430">
        <v>0.43</v>
      </c>
      <c r="G430" t="s">
        <v>1027</v>
      </c>
      <c r="H430">
        <v>0</v>
      </c>
    </row>
    <row r="431" spans="1:8" x14ac:dyDescent="0.25">
      <c r="A431" t="s">
        <v>1470</v>
      </c>
      <c r="B431" t="s">
        <v>529</v>
      </c>
      <c r="C431" t="s">
        <v>1065</v>
      </c>
      <c r="D431" t="s">
        <v>1030</v>
      </c>
      <c r="E431">
        <v>77000</v>
      </c>
      <c r="F431">
        <v>0.16</v>
      </c>
      <c r="G431" t="s">
        <v>1027</v>
      </c>
      <c r="H431">
        <v>0</v>
      </c>
    </row>
    <row r="432" spans="1:8" x14ac:dyDescent="0.25">
      <c r="A432" t="s">
        <v>1471</v>
      </c>
      <c r="B432" t="s">
        <v>934</v>
      </c>
      <c r="C432" t="s">
        <v>1065</v>
      </c>
      <c r="D432" t="s">
        <v>1035</v>
      </c>
      <c r="E432">
        <v>54000</v>
      </c>
      <c r="F432">
        <v>0.27</v>
      </c>
      <c r="G432" t="s">
        <v>1027</v>
      </c>
      <c r="H432">
        <v>0</v>
      </c>
    </row>
    <row r="433" spans="1:8" x14ac:dyDescent="0.25">
      <c r="A433" t="s">
        <v>1472</v>
      </c>
      <c r="B433" t="s">
        <v>633</v>
      </c>
      <c r="C433" t="s">
        <v>1053</v>
      </c>
      <c r="D433" t="s">
        <v>1035</v>
      </c>
      <c r="E433">
        <v>95000</v>
      </c>
      <c r="F433">
        <v>0.35</v>
      </c>
      <c r="G433" t="s">
        <v>1027</v>
      </c>
      <c r="H433">
        <v>0</v>
      </c>
    </row>
    <row r="434" spans="1:8" x14ac:dyDescent="0.25">
      <c r="A434" t="s">
        <v>1473</v>
      </c>
      <c r="B434" t="s">
        <v>813</v>
      </c>
      <c r="C434" t="s">
        <v>1049</v>
      </c>
      <c r="D434" t="s">
        <v>1035</v>
      </c>
      <c r="E434">
        <v>43000</v>
      </c>
      <c r="F434">
        <v>0.23</v>
      </c>
      <c r="G434" t="s">
        <v>1027</v>
      </c>
      <c r="H434">
        <v>0</v>
      </c>
    </row>
    <row r="435" spans="1:8" x14ac:dyDescent="0.25">
      <c r="A435" t="s">
        <v>1474</v>
      </c>
      <c r="B435" t="s">
        <v>615</v>
      </c>
      <c r="C435" t="s">
        <v>1055</v>
      </c>
      <c r="D435" t="s">
        <v>1035</v>
      </c>
      <c r="E435">
        <v>36000</v>
      </c>
      <c r="F435">
        <v>0.39</v>
      </c>
      <c r="G435" t="s">
        <v>1027</v>
      </c>
      <c r="H435">
        <v>0</v>
      </c>
    </row>
    <row r="436" spans="1:8" x14ac:dyDescent="0.25">
      <c r="A436" t="s">
        <v>1475</v>
      </c>
      <c r="B436" t="s">
        <v>585</v>
      </c>
      <c r="C436" t="s">
        <v>1049</v>
      </c>
      <c r="D436" t="s">
        <v>1039</v>
      </c>
      <c r="E436">
        <v>41000</v>
      </c>
      <c r="F436">
        <v>0.34</v>
      </c>
      <c r="G436" t="s">
        <v>1027</v>
      </c>
      <c r="H436">
        <v>0</v>
      </c>
    </row>
    <row r="437" spans="1:8" x14ac:dyDescent="0.25">
      <c r="A437" t="s">
        <v>1476</v>
      </c>
      <c r="B437" t="s">
        <v>774</v>
      </c>
      <c r="C437" t="s">
        <v>1029</v>
      </c>
      <c r="D437" t="s">
        <v>1035</v>
      </c>
      <c r="E437">
        <v>36000</v>
      </c>
      <c r="F437">
        <v>0.53</v>
      </c>
      <c r="G437" t="s">
        <v>1027</v>
      </c>
      <c r="H437">
        <v>0</v>
      </c>
    </row>
    <row r="438" spans="1:8" x14ac:dyDescent="0.25">
      <c r="A438" t="s">
        <v>1477</v>
      </c>
      <c r="B438" t="s">
        <v>562</v>
      </c>
      <c r="C438" t="s">
        <v>1065</v>
      </c>
      <c r="D438" t="s">
        <v>1026</v>
      </c>
      <c r="E438">
        <v>65000</v>
      </c>
      <c r="F438">
        <v>0.27</v>
      </c>
      <c r="G438" t="s">
        <v>1027</v>
      </c>
      <c r="H438">
        <v>0</v>
      </c>
    </row>
    <row r="439" spans="1:8" x14ac:dyDescent="0.25">
      <c r="A439" t="s">
        <v>1478</v>
      </c>
      <c r="B439" t="s">
        <v>593</v>
      </c>
      <c r="C439" t="s">
        <v>1029</v>
      </c>
      <c r="D439" t="s">
        <v>1026</v>
      </c>
      <c r="E439">
        <v>96000</v>
      </c>
      <c r="F439">
        <v>0.18</v>
      </c>
      <c r="G439" t="s">
        <v>1027</v>
      </c>
      <c r="H439">
        <v>0</v>
      </c>
    </row>
    <row r="440" spans="1:8" x14ac:dyDescent="0.25">
      <c r="A440" t="s">
        <v>1479</v>
      </c>
      <c r="B440" t="s">
        <v>857</v>
      </c>
      <c r="C440" t="s">
        <v>1029</v>
      </c>
      <c r="D440" t="s">
        <v>1039</v>
      </c>
      <c r="E440">
        <v>89000</v>
      </c>
      <c r="F440">
        <v>0.16</v>
      </c>
      <c r="G440" t="s">
        <v>1036</v>
      </c>
      <c r="H440">
        <v>1</v>
      </c>
    </row>
    <row r="441" spans="1:8" x14ac:dyDescent="0.25">
      <c r="A441" t="s">
        <v>1480</v>
      </c>
      <c r="B441" t="s">
        <v>858</v>
      </c>
      <c r="C441" t="s">
        <v>1034</v>
      </c>
      <c r="D441" t="s">
        <v>1035</v>
      </c>
      <c r="E441">
        <v>58000</v>
      </c>
      <c r="F441">
        <v>0.16</v>
      </c>
      <c r="G441" t="s">
        <v>1027</v>
      </c>
      <c r="H441">
        <v>0</v>
      </c>
    </row>
    <row r="442" spans="1:8" x14ac:dyDescent="0.25">
      <c r="A442" t="s">
        <v>1481</v>
      </c>
      <c r="B442" t="s">
        <v>932</v>
      </c>
      <c r="C442" t="s">
        <v>1065</v>
      </c>
      <c r="D442" t="s">
        <v>1026</v>
      </c>
      <c r="E442">
        <v>39000</v>
      </c>
      <c r="F442">
        <v>0.52</v>
      </c>
      <c r="G442" t="s">
        <v>1027</v>
      </c>
      <c r="H442">
        <v>0</v>
      </c>
    </row>
    <row r="443" spans="1:8" x14ac:dyDescent="0.25">
      <c r="A443" t="s">
        <v>1482</v>
      </c>
      <c r="B443" t="s">
        <v>721</v>
      </c>
      <c r="C443" t="s">
        <v>1065</v>
      </c>
      <c r="D443" t="s">
        <v>1030</v>
      </c>
      <c r="E443">
        <v>83000</v>
      </c>
      <c r="F443">
        <v>0.46</v>
      </c>
      <c r="G443" t="s">
        <v>1027</v>
      </c>
      <c r="H443">
        <v>0</v>
      </c>
    </row>
    <row r="444" spans="1:8" x14ac:dyDescent="0.25">
      <c r="A444" t="s">
        <v>1483</v>
      </c>
      <c r="B444" t="s">
        <v>839</v>
      </c>
      <c r="C444" t="s">
        <v>1034</v>
      </c>
      <c r="D444" t="s">
        <v>1030</v>
      </c>
      <c r="E444">
        <v>74000</v>
      </c>
      <c r="F444">
        <v>0.33</v>
      </c>
      <c r="G444" t="s">
        <v>1036</v>
      </c>
      <c r="H444">
        <v>1</v>
      </c>
    </row>
    <row r="445" spans="1:8" x14ac:dyDescent="0.25">
      <c r="A445" t="s">
        <v>1484</v>
      </c>
      <c r="B445" t="s">
        <v>838</v>
      </c>
      <c r="C445" t="s">
        <v>1049</v>
      </c>
      <c r="D445" t="s">
        <v>1026</v>
      </c>
      <c r="E445">
        <v>37000</v>
      </c>
      <c r="F445">
        <v>0.24</v>
      </c>
      <c r="G445" t="s">
        <v>1036</v>
      </c>
      <c r="H445">
        <v>1</v>
      </c>
    </row>
    <row r="446" spans="1:8" x14ac:dyDescent="0.25">
      <c r="A446" t="s">
        <v>1485</v>
      </c>
      <c r="B446" t="s">
        <v>750</v>
      </c>
      <c r="C446" t="s">
        <v>1041</v>
      </c>
      <c r="D446" t="s">
        <v>1039</v>
      </c>
      <c r="E446">
        <v>90000</v>
      </c>
      <c r="F446">
        <v>0.49</v>
      </c>
      <c r="G446" t="s">
        <v>1027</v>
      </c>
      <c r="H446">
        <v>0</v>
      </c>
    </row>
    <row r="447" spans="1:8" x14ac:dyDescent="0.25">
      <c r="A447" t="s">
        <v>1486</v>
      </c>
      <c r="B447" t="s">
        <v>637</v>
      </c>
      <c r="C447" t="s">
        <v>1025</v>
      </c>
      <c r="D447" t="s">
        <v>1039</v>
      </c>
      <c r="E447">
        <v>54000</v>
      </c>
      <c r="F447">
        <v>0.37</v>
      </c>
      <c r="G447" t="s">
        <v>1027</v>
      </c>
      <c r="H447">
        <v>0</v>
      </c>
    </row>
    <row r="448" spans="1:8" x14ac:dyDescent="0.25">
      <c r="A448" t="s">
        <v>1487</v>
      </c>
      <c r="B448" t="s">
        <v>852</v>
      </c>
      <c r="C448" t="s">
        <v>1049</v>
      </c>
      <c r="D448" t="s">
        <v>1035</v>
      </c>
      <c r="E448">
        <v>74000</v>
      </c>
      <c r="F448">
        <v>0.34</v>
      </c>
      <c r="G448" t="s">
        <v>1027</v>
      </c>
      <c r="H448">
        <v>0</v>
      </c>
    </row>
    <row r="449" spans="1:8" x14ac:dyDescent="0.25">
      <c r="A449" t="s">
        <v>1488</v>
      </c>
      <c r="B449" t="s">
        <v>1009</v>
      </c>
      <c r="C449" t="s">
        <v>1038</v>
      </c>
      <c r="D449" t="s">
        <v>1026</v>
      </c>
      <c r="E449">
        <v>27000</v>
      </c>
      <c r="F449">
        <v>0.35</v>
      </c>
      <c r="G449" t="s">
        <v>1027</v>
      </c>
      <c r="H449">
        <v>0</v>
      </c>
    </row>
    <row r="450" spans="1:8" x14ac:dyDescent="0.25">
      <c r="A450" t="s">
        <v>1489</v>
      </c>
      <c r="B450" t="s">
        <v>748</v>
      </c>
      <c r="C450" t="s">
        <v>1049</v>
      </c>
      <c r="D450" t="s">
        <v>1035</v>
      </c>
      <c r="E450">
        <v>80000</v>
      </c>
      <c r="F450">
        <v>0.43</v>
      </c>
      <c r="G450" t="s">
        <v>1027</v>
      </c>
      <c r="H450">
        <v>0</v>
      </c>
    </row>
    <row r="451" spans="1:8" x14ac:dyDescent="0.25">
      <c r="A451" t="s">
        <v>1490</v>
      </c>
      <c r="B451" t="s">
        <v>868</v>
      </c>
      <c r="C451" t="s">
        <v>1065</v>
      </c>
      <c r="D451" t="s">
        <v>1035</v>
      </c>
      <c r="E451">
        <v>63000</v>
      </c>
      <c r="F451">
        <v>0.53</v>
      </c>
      <c r="G451" t="s">
        <v>1036</v>
      </c>
      <c r="H451">
        <v>1</v>
      </c>
    </row>
    <row r="452" spans="1:8" x14ac:dyDescent="0.25">
      <c r="A452" t="s">
        <v>1491</v>
      </c>
      <c r="B452" t="s">
        <v>981</v>
      </c>
      <c r="C452" t="s">
        <v>1032</v>
      </c>
      <c r="D452" t="s">
        <v>1035</v>
      </c>
      <c r="E452">
        <v>91000</v>
      </c>
      <c r="F452">
        <v>0.28000000000000003</v>
      </c>
      <c r="G452" t="s">
        <v>1027</v>
      </c>
      <c r="H452">
        <v>0</v>
      </c>
    </row>
    <row r="453" spans="1:8" x14ac:dyDescent="0.25">
      <c r="A453" t="s">
        <v>1492</v>
      </c>
      <c r="B453" t="s">
        <v>957</v>
      </c>
      <c r="C453" t="s">
        <v>1049</v>
      </c>
      <c r="D453" t="s">
        <v>1039</v>
      </c>
      <c r="E453">
        <v>72000</v>
      </c>
      <c r="F453">
        <v>0.41</v>
      </c>
      <c r="G453" t="s">
        <v>1027</v>
      </c>
      <c r="H453">
        <v>0</v>
      </c>
    </row>
    <row r="454" spans="1:8" x14ac:dyDescent="0.25">
      <c r="A454" t="s">
        <v>1493</v>
      </c>
      <c r="B454" t="s">
        <v>784</v>
      </c>
      <c r="C454" t="s">
        <v>1055</v>
      </c>
      <c r="D454" t="s">
        <v>1026</v>
      </c>
      <c r="E454">
        <v>12000</v>
      </c>
      <c r="F454">
        <v>0.4</v>
      </c>
      <c r="G454" t="s">
        <v>1036</v>
      </c>
      <c r="H454">
        <v>1</v>
      </c>
    </row>
    <row r="455" spans="1:8" x14ac:dyDescent="0.25">
      <c r="A455" t="s">
        <v>1494</v>
      </c>
      <c r="B455" t="s">
        <v>859</v>
      </c>
      <c r="C455" t="s">
        <v>1038</v>
      </c>
      <c r="D455" t="s">
        <v>1026</v>
      </c>
      <c r="E455">
        <v>79000</v>
      </c>
      <c r="F455">
        <v>0.47</v>
      </c>
      <c r="G455" t="s">
        <v>1027</v>
      </c>
      <c r="H455">
        <v>0</v>
      </c>
    </row>
    <row r="456" spans="1:8" x14ac:dyDescent="0.25">
      <c r="A456" t="s">
        <v>1495</v>
      </c>
      <c r="B456" t="s">
        <v>613</v>
      </c>
      <c r="C456" t="s">
        <v>1041</v>
      </c>
      <c r="D456" t="s">
        <v>1026</v>
      </c>
      <c r="E456">
        <v>82000</v>
      </c>
      <c r="F456">
        <v>0.46</v>
      </c>
      <c r="G456" t="s">
        <v>1027</v>
      </c>
      <c r="H456">
        <v>0</v>
      </c>
    </row>
    <row r="457" spans="1:8" x14ac:dyDescent="0.25">
      <c r="A457" t="s">
        <v>1496</v>
      </c>
      <c r="B457" t="s">
        <v>683</v>
      </c>
      <c r="C457" t="s">
        <v>1029</v>
      </c>
      <c r="D457" t="s">
        <v>1026</v>
      </c>
      <c r="E457">
        <v>88000</v>
      </c>
      <c r="F457">
        <v>0.17</v>
      </c>
      <c r="G457" t="s">
        <v>1027</v>
      </c>
      <c r="H457">
        <v>0</v>
      </c>
    </row>
    <row r="458" spans="1:8" x14ac:dyDescent="0.25">
      <c r="A458" t="s">
        <v>1497</v>
      </c>
      <c r="B458" t="s">
        <v>1007</v>
      </c>
      <c r="C458" t="s">
        <v>1053</v>
      </c>
      <c r="D458" t="s">
        <v>1026</v>
      </c>
      <c r="E458">
        <v>64000</v>
      </c>
      <c r="F458">
        <v>0.46</v>
      </c>
      <c r="G458" t="s">
        <v>1027</v>
      </c>
      <c r="H458">
        <v>0</v>
      </c>
    </row>
    <row r="459" spans="1:8" x14ac:dyDescent="0.25">
      <c r="A459" t="s">
        <v>1498</v>
      </c>
      <c r="B459" t="s">
        <v>972</v>
      </c>
      <c r="C459" t="s">
        <v>1025</v>
      </c>
      <c r="D459" t="s">
        <v>1039</v>
      </c>
      <c r="E459">
        <v>75000</v>
      </c>
      <c r="F459">
        <v>0.43</v>
      </c>
      <c r="G459" t="s">
        <v>1027</v>
      </c>
      <c r="H459">
        <v>0</v>
      </c>
    </row>
    <row r="460" spans="1:8" x14ac:dyDescent="0.25">
      <c r="A460" t="s">
        <v>1499</v>
      </c>
      <c r="B460" t="s">
        <v>922</v>
      </c>
      <c r="C460" t="s">
        <v>1038</v>
      </c>
      <c r="D460" t="s">
        <v>1030</v>
      </c>
      <c r="E460">
        <v>46000</v>
      </c>
      <c r="F460">
        <v>0.33</v>
      </c>
      <c r="G460" t="s">
        <v>1036</v>
      </c>
      <c r="H460">
        <v>1</v>
      </c>
    </row>
    <row r="461" spans="1:8" x14ac:dyDescent="0.25">
      <c r="A461" t="s">
        <v>1500</v>
      </c>
      <c r="B461" t="s">
        <v>628</v>
      </c>
      <c r="C461" t="s">
        <v>1065</v>
      </c>
      <c r="D461" t="s">
        <v>1030</v>
      </c>
      <c r="E461">
        <v>24000</v>
      </c>
      <c r="F461">
        <v>0.15</v>
      </c>
      <c r="G461" t="s">
        <v>1027</v>
      </c>
      <c r="H461">
        <v>0</v>
      </c>
    </row>
    <row r="462" spans="1:8" x14ac:dyDescent="0.25">
      <c r="A462" t="s">
        <v>1501</v>
      </c>
      <c r="B462" t="s">
        <v>778</v>
      </c>
      <c r="C462" t="s">
        <v>1053</v>
      </c>
      <c r="D462" t="s">
        <v>1039</v>
      </c>
      <c r="E462">
        <v>68000</v>
      </c>
      <c r="F462">
        <v>0.27</v>
      </c>
      <c r="G462" t="s">
        <v>1027</v>
      </c>
      <c r="H462">
        <v>0</v>
      </c>
    </row>
    <row r="463" spans="1:8" x14ac:dyDescent="0.25">
      <c r="A463" t="s">
        <v>1502</v>
      </c>
      <c r="B463" t="s">
        <v>607</v>
      </c>
      <c r="C463" t="s">
        <v>1049</v>
      </c>
      <c r="D463" t="s">
        <v>1030</v>
      </c>
      <c r="E463">
        <v>73000</v>
      </c>
      <c r="F463">
        <v>0.53</v>
      </c>
      <c r="G463" t="s">
        <v>1036</v>
      </c>
      <c r="H463">
        <v>1</v>
      </c>
    </row>
    <row r="464" spans="1:8" x14ac:dyDescent="0.25">
      <c r="A464" t="s">
        <v>1503</v>
      </c>
      <c r="B464" t="s">
        <v>875</v>
      </c>
      <c r="C464" t="s">
        <v>1055</v>
      </c>
      <c r="D464" t="s">
        <v>1039</v>
      </c>
      <c r="E464">
        <v>44000</v>
      </c>
      <c r="F464">
        <v>0.28999999999999998</v>
      </c>
      <c r="G464" t="s">
        <v>1027</v>
      </c>
      <c r="H464">
        <v>0</v>
      </c>
    </row>
    <row r="465" spans="1:8" x14ac:dyDescent="0.25">
      <c r="A465" t="s">
        <v>1504</v>
      </c>
      <c r="B465" t="s">
        <v>563</v>
      </c>
      <c r="C465" t="s">
        <v>1041</v>
      </c>
      <c r="D465" t="s">
        <v>1030</v>
      </c>
      <c r="E465">
        <v>19000</v>
      </c>
      <c r="F465">
        <v>0.46</v>
      </c>
      <c r="G465" t="s">
        <v>1036</v>
      </c>
      <c r="H465">
        <v>1</v>
      </c>
    </row>
    <row r="466" spans="1:8" x14ac:dyDescent="0.25">
      <c r="A466" t="s">
        <v>1505</v>
      </c>
      <c r="B466" t="s">
        <v>552</v>
      </c>
      <c r="C466" t="s">
        <v>1029</v>
      </c>
      <c r="D466" t="s">
        <v>1030</v>
      </c>
      <c r="E466">
        <v>94000</v>
      </c>
      <c r="F466">
        <v>0.51</v>
      </c>
      <c r="G466" t="s">
        <v>1027</v>
      </c>
      <c r="H466">
        <v>0</v>
      </c>
    </row>
    <row r="467" spans="1:8" x14ac:dyDescent="0.25">
      <c r="A467" t="s">
        <v>1506</v>
      </c>
      <c r="B467" t="s">
        <v>926</v>
      </c>
      <c r="C467" t="s">
        <v>1053</v>
      </c>
      <c r="D467" t="s">
        <v>1026</v>
      </c>
      <c r="E467">
        <v>22000</v>
      </c>
      <c r="F467">
        <v>0.24</v>
      </c>
      <c r="G467" t="s">
        <v>1027</v>
      </c>
      <c r="H467">
        <v>0</v>
      </c>
    </row>
    <row r="468" spans="1:8" x14ac:dyDescent="0.25">
      <c r="A468" t="s">
        <v>1507</v>
      </c>
      <c r="B468" t="s">
        <v>854</v>
      </c>
      <c r="C468" t="s">
        <v>1029</v>
      </c>
      <c r="D468" t="s">
        <v>1030</v>
      </c>
      <c r="E468">
        <v>67000</v>
      </c>
      <c r="F468">
        <v>0.28000000000000003</v>
      </c>
      <c r="G468" t="s">
        <v>1027</v>
      </c>
      <c r="H468">
        <v>0</v>
      </c>
    </row>
    <row r="469" spans="1:8" x14ac:dyDescent="0.25">
      <c r="A469" t="s">
        <v>1508</v>
      </c>
      <c r="B469" t="s">
        <v>708</v>
      </c>
      <c r="C469" t="s">
        <v>1053</v>
      </c>
      <c r="D469" t="s">
        <v>1030</v>
      </c>
      <c r="E469">
        <v>93000</v>
      </c>
      <c r="F469">
        <v>0.25</v>
      </c>
      <c r="G469" t="s">
        <v>1027</v>
      </c>
      <c r="H469">
        <v>0</v>
      </c>
    </row>
    <row r="470" spans="1:8" x14ac:dyDescent="0.25">
      <c r="A470" t="s">
        <v>1509</v>
      </c>
      <c r="B470" t="s">
        <v>790</v>
      </c>
      <c r="C470" t="s">
        <v>1038</v>
      </c>
      <c r="D470" t="s">
        <v>1039</v>
      </c>
      <c r="E470">
        <v>35000</v>
      </c>
      <c r="F470">
        <v>0.46</v>
      </c>
      <c r="G470" t="s">
        <v>1027</v>
      </c>
      <c r="H470">
        <v>0</v>
      </c>
    </row>
    <row r="471" spans="1:8" x14ac:dyDescent="0.25">
      <c r="A471" t="s">
        <v>1510</v>
      </c>
      <c r="B471" t="s">
        <v>926</v>
      </c>
      <c r="C471" t="s">
        <v>1025</v>
      </c>
      <c r="D471" t="s">
        <v>1039</v>
      </c>
      <c r="E471">
        <v>26000</v>
      </c>
      <c r="F471">
        <v>0.45</v>
      </c>
      <c r="G471" t="s">
        <v>1036</v>
      </c>
      <c r="H471">
        <v>1</v>
      </c>
    </row>
    <row r="472" spans="1:8" x14ac:dyDescent="0.25">
      <c r="A472" t="s">
        <v>1511</v>
      </c>
      <c r="B472" t="s">
        <v>990</v>
      </c>
      <c r="C472" t="s">
        <v>1029</v>
      </c>
      <c r="D472" t="s">
        <v>1035</v>
      </c>
      <c r="E472">
        <v>57000</v>
      </c>
      <c r="F472">
        <v>0.19</v>
      </c>
      <c r="G472" t="s">
        <v>1027</v>
      </c>
      <c r="H472">
        <v>0</v>
      </c>
    </row>
    <row r="473" spans="1:8" x14ac:dyDescent="0.25">
      <c r="A473" t="s">
        <v>1512</v>
      </c>
      <c r="B473" t="s">
        <v>637</v>
      </c>
      <c r="C473" t="s">
        <v>1029</v>
      </c>
      <c r="D473" t="s">
        <v>1030</v>
      </c>
      <c r="E473">
        <v>96000</v>
      </c>
      <c r="F473">
        <v>0.48</v>
      </c>
      <c r="G473" t="s">
        <v>1027</v>
      </c>
      <c r="H473">
        <v>0</v>
      </c>
    </row>
    <row r="474" spans="1:8" x14ac:dyDescent="0.25">
      <c r="A474" t="s">
        <v>1513</v>
      </c>
      <c r="B474" t="s">
        <v>604</v>
      </c>
      <c r="C474" t="s">
        <v>1053</v>
      </c>
      <c r="D474" t="s">
        <v>1026</v>
      </c>
      <c r="E474">
        <v>48000</v>
      </c>
      <c r="F474">
        <v>0.17</v>
      </c>
      <c r="G474" t="s">
        <v>1027</v>
      </c>
      <c r="H474">
        <v>0</v>
      </c>
    </row>
    <row r="475" spans="1:8" x14ac:dyDescent="0.25">
      <c r="A475" t="s">
        <v>1514</v>
      </c>
      <c r="B475" t="s">
        <v>946</v>
      </c>
      <c r="C475" t="s">
        <v>1041</v>
      </c>
      <c r="D475" t="s">
        <v>1030</v>
      </c>
      <c r="E475">
        <v>46000</v>
      </c>
      <c r="F475">
        <v>0.37</v>
      </c>
      <c r="G475" t="s">
        <v>1027</v>
      </c>
      <c r="H475">
        <v>0</v>
      </c>
    </row>
    <row r="476" spans="1:8" x14ac:dyDescent="0.25">
      <c r="A476" t="s">
        <v>1515</v>
      </c>
      <c r="B476" t="s">
        <v>675</v>
      </c>
      <c r="C476" t="s">
        <v>1029</v>
      </c>
      <c r="D476" t="s">
        <v>1026</v>
      </c>
      <c r="E476">
        <v>58000</v>
      </c>
      <c r="F476">
        <v>0.43</v>
      </c>
      <c r="G476" t="s">
        <v>1027</v>
      </c>
      <c r="H476">
        <v>0</v>
      </c>
    </row>
    <row r="477" spans="1:8" x14ac:dyDescent="0.25">
      <c r="A477" t="s">
        <v>1516</v>
      </c>
      <c r="B477" t="s">
        <v>976</v>
      </c>
      <c r="C477" t="s">
        <v>1049</v>
      </c>
      <c r="D477" t="s">
        <v>1035</v>
      </c>
      <c r="E477">
        <v>69000</v>
      </c>
      <c r="F477">
        <v>0.31</v>
      </c>
      <c r="G477" t="s">
        <v>1027</v>
      </c>
      <c r="H477">
        <v>0</v>
      </c>
    </row>
    <row r="478" spans="1:8" x14ac:dyDescent="0.25">
      <c r="A478" t="s">
        <v>1517</v>
      </c>
      <c r="B478" t="s">
        <v>822</v>
      </c>
      <c r="C478" t="s">
        <v>1055</v>
      </c>
      <c r="D478" t="s">
        <v>1030</v>
      </c>
      <c r="E478">
        <v>51000</v>
      </c>
      <c r="F478">
        <v>0.4</v>
      </c>
      <c r="G478" t="s">
        <v>1027</v>
      </c>
      <c r="H478">
        <v>0</v>
      </c>
    </row>
    <row r="479" spans="1:8" x14ac:dyDescent="0.25">
      <c r="A479" t="s">
        <v>1518</v>
      </c>
      <c r="B479" t="s">
        <v>559</v>
      </c>
      <c r="C479" t="s">
        <v>1065</v>
      </c>
      <c r="D479" t="s">
        <v>1026</v>
      </c>
      <c r="E479">
        <v>46000</v>
      </c>
      <c r="F479">
        <v>0.19</v>
      </c>
      <c r="G479" t="s">
        <v>1027</v>
      </c>
      <c r="H479">
        <v>0</v>
      </c>
    </row>
    <row r="480" spans="1:8" x14ac:dyDescent="0.25">
      <c r="A480" t="s">
        <v>1519</v>
      </c>
      <c r="B480" t="s">
        <v>672</v>
      </c>
      <c r="C480" t="s">
        <v>1049</v>
      </c>
      <c r="D480" t="s">
        <v>1035</v>
      </c>
      <c r="E480">
        <v>10000</v>
      </c>
      <c r="F480">
        <v>0.36</v>
      </c>
      <c r="G480" t="s">
        <v>1036</v>
      </c>
      <c r="H480">
        <v>1</v>
      </c>
    </row>
    <row r="481" spans="1:8" x14ac:dyDescent="0.25">
      <c r="A481" t="s">
        <v>1520</v>
      </c>
      <c r="B481" t="s">
        <v>544</v>
      </c>
      <c r="C481" t="s">
        <v>1032</v>
      </c>
      <c r="D481" t="s">
        <v>1035</v>
      </c>
      <c r="E481">
        <v>100000</v>
      </c>
      <c r="F481">
        <v>0.18</v>
      </c>
      <c r="G481" t="s">
        <v>1036</v>
      </c>
      <c r="H481">
        <v>1</v>
      </c>
    </row>
    <row r="482" spans="1:8" x14ac:dyDescent="0.25">
      <c r="A482" t="s">
        <v>1521</v>
      </c>
      <c r="B482" t="s">
        <v>650</v>
      </c>
      <c r="C482" t="s">
        <v>1032</v>
      </c>
      <c r="D482" t="s">
        <v>1026</v>
      </c>
      <c r="E482">
        <v>96000</v>
      </c>
      <c r="F482">
        <v>0.28999999999999998</v>
      </c>
      <c r="G482" t="s">
        <v>1027</v>
      </c>
      <c r="H482">
        <v>0</v>
      </c>
    </row>
    <row r="483" spans="1:8" x14ac:dyDescent="0.25">
      <c r="A483" t="s">
        <v>1522</v>
      </c>
      <c r="B483" t="s">
        <v>1012</v>
      </c>
      <c r="C483" t="s">
        <v>1025</v>
      </c>
      <c r="D483" t="s">
        <v>1026</v>
      </c>
      <c r="E483">
        <v>84000</v>
      </c>
      <c r="F483">
        <v>0.24</v>
      </c>
      <c r="G483" t="s">
        <v>1027</v>
      </c>
      <c r="H483">
        <v>0</v>
      </c>
    </row>
    <row r="484" spans="1:8" x14ac:dyDescent="0.25">
      <c r="A484" t="s">
        <v>1523</v>
      </c>
      <c r="B484" t="s">
        <v>592</v>
      </c>
      <c r="C484" t="s">
        <v>1029</v>
      </c>
      <c r="D484" t="s">
        <v>1039</v>
      </c>
      <c r="E484">
        <v>87000</v>
      </c>
      <c r="F484">
        <v>0.2</v>
      </c>
      <c r="G484" t="s">
        <v>1036</v>
      </c>
      <c r="H484">
        <v>1</v>
      </c>
    </row>
    <row r="485" spans="1:8" x14ac:dyDescent="0.25">
      <c r="A485" t="s">
        <v>1524</v>
      </c>
      <c r="B485" t="s">
        <v>817</v>
      </c>
      <c r="C485" t="s">
        <v>1029</v>
      </c>
      <c r="D485" t="s">
        <v>1026</v>
      </c>
      <c r="E485">
        <v>49000</v>
      </c>
      <c r="F485">
        <v>0.5</v>
      </c>
      <c r="G485" t="s">
        <v>1027</v>
      </c>
      <c r="H485">
        <v>0</v>
      </c>
    </row>
    <row r="486" spans="1:8" x14ac:dyDescent="0.25">
      <c r="A486" t="s">
        <v>1525</v>
      </c>
      <c r="B486" t="s">
        <v>955</v>
      </c>
      <c r="C486" t="s">
        <v>1041</v>
      </c>
      <c r="D486" t="s">
        <v>1026</v>
      </c>
      <c r="E486">
        <v>15000</v>
      </c>
      <c r="F486">
        <v>0.52</v>
      </c>
      <c r="G486" t="s">
        <v>1027</v>
      </c>
      <c r="H486">
        <v>0</v>
      </c>
    </row>
    <row r="487" spans="1:8" x14ac:dyDescent="0.25">
      <c r="A487" t="s">
        <v>1526</v>
      </c>
      <c r="B487" t="s">
        <v>667</v>
      </c>
      <c r="C487" t="s">
        <v>1049</v>
      </c>
      <c r="D487" t="s">
        <v>1026</v>
      </c>
      <c r="E487">
        <v>50000</v>
      </c>
      <c r="F487">
        <v>0.22</v>
      </c>
      <c r="G487" t="s">
        <v>1027</v>
      </c>
      <c r="H487">
        <v>0</v>
      </c>
    </row>
    <row r="488" spans="1:8" x14ac:dyDescent="0.25">
      <c r="A488" t="s">
        <v>1527</v>
      </c>
      <c r="B488" t="s">
        <v>1207</v>
      </c>
      <c r="C488" t="s">
        <v>1041</v>
      </c>
      <c r="D488" t="s">
        <v>1030</v>
      </c>
      <c r="E488">
        <v>86000</v>
      </c>
      <c r="F488">
        <v>0.35</v>
      </c>
      <c r="G488" t="s">
        <v>1027</v>
      </c>
      <c r="H488">
        <v>0</v>
      </c>
    </row>
    <row r="489" spans="1:8" x14ac:dyDescent="0.25">
      <c r="A489" t="s">
        <v>1528</v>
      </c>
      <c r="B489" t="s">
        <v>797</v>
      </c>
      <c r="C489" t="s">
        <v>1049</v>
      </c>
      <c r="D489" t="s">
        <v>1026</v>
      </c>
      <c r="E489">
        <v>32000</v>
      </c>
      <c r="F489">
        <v>0.28999999999999998</v>
      </c>
      <c r="G489" t="s">
        <v>1027</v>
      </c>
      <c r="H489">
        <v>0</v>
      </c>
    </row>
    <row r="490" spans="1:8" x14ac:dyDescent="0.25">
      <c r="A490" t="s">
        <v>1529</v>
      </c>
      <c r="B490" t="s">
        <v>853</v>
      </c>
      <c r="C490" t="s">
        <v>1065</v>
      </c>
      <c r="D490" t="s">
        <v>1039</v>
      </c>
      <c r="E490">
        <v>98000</v>
      </c>
      <c r="F490">
        <v>0.54</v>
      </c>
      <c r="G490" t="s">
        <v>1036</v>
      </c>
      <c r="H490">
        <v>1</v>
      </c>
    </row>
    <row r="491" spans="1:8" x14ac:dyDescent="0.25">
      <c r="A491" t="s">
        <v>1530</v>
      </c>
      <c r="B491" t="s">
        <v>962</v>
      </c>
      <c r="C491" t="s">
        <v>1055</v>
      </c>
      <c r="D491" t="s">
        <v>1030</v>
      </c>
      <c r="E491">
        <v>26000</v>
      </c>
      <c r="F491">
        <v>0.19</v>
      </c>
      <c r="G491" t="s">
        <v>1027</v>
      </c>
      <c r="H491">
        <v>0</v>
      </c>
    </row>
    <row r="492" spans="1:8" x14ac:dyDescent="0.25">
      <c r="A492" t="s">
        <v>1531</v>
      </c>
      <c r="B492" t="s">
        <v>672</v>
      </c>
      <c r="C492" t="s">
        <v>1029</v>
      </c>
      <c r="D492" t="s">
        <v>1030</v>
      </c>
      <c r="E492">
        <v>33000</v>
      </c>
      <c r="F492">
        <v>0.18</v>
      </c>
      <c r="G492" t="s">
        <v>1027</v>
      </c>
      <c r="H492">
        <v>0</v>
      </c>
    </row>
    <row r="493" spans="1:8" x14ac:dyDescent="0.25">
      <c r="A493" t="s">
        <v>1532</v>
      </c>
      <c r="B493" t="s">
        <v>762</v>
      </c>
      <c r="C493" t="s">
        <v>1065</v>
      </c>
      <c r="D493" t="s">
        <v>1039</v>
      </c>
      <c r="E493">
        <v>18000</v>
      </c>
      <c r="F493">
        <v>0.55000000000000004</v>
      </c>
      <c r="G493" t="s">
        <v>1027</v>
      </c>
      <c r="H493">
        <v>0</v>
      </c>
    </row>
    <row r="494" spans="1:8" x14ac:dyDescent="0.25">
      <c r="A494" t="s">
        <v>1533</v>
      </c>
      <c r="B494" t="s">
        <v>848</v>
      </c>
      <c r="C494" t="s">
        <v>1065</v>
      </c>
      <c r="D494" t="s">
        <v>1035</v>
      </c>
      <c r="E494">
        <v>92000</v>
      </c>
      <c r="F494">
        <v>0.49</v>
      </c>
      <c r="G494" t="s">
        <v>1027</v>
      </c>
      <c r="H494">
        <v>0</v>
      </c>
    </row>
    <row r="495" spans="1:8" x14ac:dyDescent="0.25">
      <c r="A495" t="s">
        <v>1534</v>
      </c>
      <c r="B495" t="s">
        <v>530</v>
      </c>
      <c r="C495" t="s">
        <v>1049</v>
      </c>
      <c r="D495" t="s">
        <v>1035</v>
      </c>
      <c r="E495">
        <v>18000</v>
      </c>
      <c r="F495">
        <v>0.49</v>
      </c>
      <c r="G495" t="s">
        <v>1027</v>
      </c>
      <c r="H495">
        <v>0</v>
      </c>
    </row>
    <row r="496" spans="1:8" x14ac:dyDescent="0.25">
      <c r="A496" t="s">
        <v>1535</v>
      </c>
      <c r="B496" t="s">
        <v>925</v>
      </c>
      <c r="C496" t="s">
        <v>1038</v>
      </c>
      <c r="D496" t="s">
        <v>1026</v>
      </c>
      <c r="E496">
        <v>66000</v>
      </c>
      <c r="F496">
        <v>0.38</v>
      </c>
      <c r="G496" t="s">
        <v>1036</v>
      </c>
      <c r="H496">
        <v>1</v>
      </c>
    </row>
    <row r="497" spans="1:8" x14ac:dyDescent="0.25">
      <c r="A497" t="s">
        <v>1536</v>
      </c>
      <c r="B497" t="s">
        <v>630</v>
      </c>
      <c r="C497" t="s">
        <v>1049</v>
      </c>
      <c r="D497" t="s">
        <v>1035</v>
      </c>
      <c r="E497">
        <v>56000</v>
      </c>
      <c r="F497">
        <v>0.28000000000000003</v>
      </c>
      <c r="G497" t="s">
        <v>1027</v>
      </c>
      <c r="H497">
        <v>0</v>
      </c>
    </row>
    <row r="498" spans="1:8" x14ac:dyDescent="0.25">
      <c r="A498" t="s">
        <v>1537</v>
      </c>
      <c r="B498" t="s">
        <v>800</v>
      </c>
      <c r="C498" t="s">
        <v>1025</v>
      </c>
      <c r="D498" t="s">
        <v>1039</v>
      </c>
      <c r="E498">
        <v>82000</v>
      </c>
      <c r="F498">
        <v>0.15</v>
      </c>
      <c r="G498" t="s">
        <v>1027</v>
      </c>
      <c r="H498">
        <v>0</v>
      </c>
    </row>
    <row r="499" spans="1:8" x14ac:dyDescent="0.25">
      <c r="A499" t="s">
        <v>1538</v>
      </c>
      <c r="B499" t="s">
        <v>993</v>
      </c>
      <c r="C499" t="s">
        <v>1049</v>
      </c>
      <c r="D499" t="s">
        <v>1039</v>
      </c>
      <c r="E499">
        <v>26000</v>
      </c>
      <c r="F499">
        <v>0.35</v>
      </c>
      <c r="G499" t="s">
        <v>1027</v>
      </c>
      <c r="H499">
        <v>0</v>
      </c>
    </row>
    <row r="500" spans="1:8" x14ac:dyDescent="0.25">
      <c r="A500" t="s">
        <v>1539</v>
      </c>
      <c r="B500" t="s">
        <v>559</v>
      </c>
      <c r="C500" t="s">
        <v>1041</v>
      </c>
      <c r="D500" t="s">
        <v>1035</v>
      </c>
      <c r="E500">
        <v>12000</v>
      </c>
      <c r="F500">
        <v>0.55000000000000004</v>
      </c>
      <c r="G500" t="s">
        <v>1027</v>
      </c>
      <c r="H500">
        <v>0</v>
      </c>
    </row>
    <row r="501" spans="1:8" x14ac:dyDescent="0.25">
      <c r="A501" t="s">
        <v>1540</v>
      </c>
      <c r="B501" t="s">
        <v>952</v>
      </c>
      <c r="C501" t="s">
        <v>1055</v>
      </c>
      <c r="D501" t="s">
        <v>1035</v>
      </c>
      <c r="E501">
        <v>88000</v>
      </c>
      <c r="F501">
        <v>0.25</v>
      </c>
      <c r="G501" t="s">
        <v>1027</v>
      </c>
      <c r="H501">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01"/>
  <sheetViews>
    <sheetView workbookViewId="0"/>
  </sheetViews>
  <sheetFormatPr defaultColWidth="9" defaultRowHeight="14.4" x14ac:dyDescent="0.25"/>
  <cols>
    <col min="1" max="1" width="18.44140625" customWidth="1"/>
    <col min="2" max="2" width="15.109375" customWidth="1"/>
    <col min="3" max="3" width="12.88671875" customWidth="1"/>
    <col min="4" max="5" width="20.6640625" customWidth="1"/>
    <col min="6" max="6" width="9.5546875" customWidth="1"/>
  </cols>
  <sheetData>
    <row r="1" spans="1:6" x14ac:dyDescent="0.25">
      <c r="A1" t="s">
        <v>1541</v>
      </c>
      <c r="B1" t="s">
        <v>8</v>
      </c>
      <c r="C1" t="s">
        <v>9</v>
      </c>
      <c r="D1" t="s">
        <v>1542</v>
      </c>
      <c r="E1" t="s">
        <v>1543</v>
      </c>
      <c r="F1" t="s">
        <v>1544</v>
      </c>
    </row>
    <row r="2" spans="1:6" x14ac:dyDescent="0.25">
      <c r="A2" t="s">
        <v>2046</v>
      </c>
      <c r="B2" t="s">
        <v>777</v>
      </c>
      <c r="C2" t="s">
        <v>1029</v>
      </c>
      <c r="D2" s="1">
        <v>46094</v>
      </c>
      <c r="E2" t="s">
        <v>1545</v>
      </c>
      <c r="F2">
        <v>17000</v>
      </c>
    </row>
    <row r="3" spans="1:6" x14ac:dyDescent="0.25">
      <c r="A3" t="s">
        <v>2045</v>
      </c>
      <c r="B3" t="s">
        <v>638</v>
      </c>
      <c r="C3" t="s">
        <v>1055</v>
      </c>
      <c r="D3" s="1">
        <v>46073</v>
      </c>
      <c r="E3" t="s">
        <v>1545</v>
      </c>
      <c r="F3">
        <v>21000</v>
      </c>
    </row>
    <row r="4" spans="1:6" x14ac:dyDescent="0.25">
      <c r="A4" t="s">
        <v>2044</v>
      </c>
      <c r="B4" t="s">
        <v>898</v>
      </c>
      <c r="C4" t="s">
        <v>1065</v>
      </c>
      <c r="D4" s="1">
        <v>46062</v>
      </c>
      <c r="E4" t="s">
        <v>1547</v>
      </c>
      <c r="F4">
        <v>26000</v>
      </c>
    </row>
    <row r="5" spans="1:6" x14ac:dyDescent="0.25">
      <c r="A5" t="s">
        <v>2043</v>
      </c>
      <c r="B5" t="s">
        <v>734</v>
      </c>
      <c r="C5" t="s">
        <v>1025</v>
      </c>
      <c r="D5" s="1">
        <v>46065</v>
      </c>
      <c r="E5" t="s">
        <v>1545</v>
      </c>
      <c r="F5">
        <v>22000</v>
      </c>
    </row>
    <row r="6" spans="1:6" x14ac:dyDescent="0.25">
      <c r="A6" t="s">
        <v>2042</v>
      </c>
      <c r="B6" t="s">
        <v>955</v>
      </c>
      <c r="C6" t="s">
        <v>1025</v>
      </c>
      <c r="D6" s="1">
        <v>46036</v>
      </c>
      <c r="E6" t="s">
        <v>1545</v>
      </c>
      <c r="F6">
        <v>16000</v>
      </c>
    </row>
    <row r="7" spans="1:6" x14ac:dyDescent="0.25">
      <c r="A7" t="s">
        <v>2041</v>
      </c>
      <c r="B7" t="s">
        <v>737</v>
      </c>
      <c r="C7" t="s">
        <v>1034</v>
      </c>
      <c r="D7" s="1">
        <v>46144</v>
      </c>
      <c r="E7" t="s">
        <v>1547</v>
      </c>
      <c r="F7">
        <v>50000</v>
      </c>
    </row>
    <row r="8" spans="1:6" x14ac:dyDescent="0.25">
      <c r="A8" t="s">
        <v>2040</v>
      </c>
      <c r="B8" t="s">
        <v>615</v>
      </c>
      <c r="C8" t="s">
        <v>1049</v>
      </c>
      <c r="D8" s="1">
        <v>46147</v>
      </c>
      <c r="E8" t="s">
        <v>1545</v>
      </c>
      <c r="F8">
        <v>49000</v>
      </c>
    </row>
    <row r="9" spans="1:6" x14ac:dyDescent="0.25">
      <c r="A9" t="s">
        <v>2039</v>
      </c>
      <c r="B9" t="s">
        <v>687</v>
      </c>
      <c r="C9" t="s">
        <v>1041</v>
      </c>
      <c r="D9" s="1">
        <v>46120</v>
      </c>
      <c r="E9" t="s">
        <v>1547</v>
      </c>
      <c r="F9">
        <v>30000</v>
      </c>
    </row>
    <row r="10" spans="1:6" x14ac:dyDescent="0.25">
      <c r="A10" t="s">
        <v>2038</v>
      </c>
      <c r="B10" t="s">
        <v>747</v>
      </c>
      <c r="C10" t="s">
        <v>1049</v>
      </c>
      <c r="D10" s="1">
        <v>46054</v>
      </c>
      <c r="E10" t="s">
        <v>1547</v>
      </c>
      <c r="F10">
        <v>39000</v>
      </c>
    </row>
    <row r="11" spans="1:6" x14ac:dyDescent="0.25">
      <c r="A11" t="s">
        <v>2037</v>
      </c>
      <c r="B11" t="s">
        <v>807</v>
      </c>
      <c r="C11" t="s">
        <v>1055</v>
      </c>
      <c r="D11" s="1">
        <v>46042</v>
      </c>
      <c r="E11" t="s">
        <v>1545</v>
      </c>
      <c r="F11">
        <v>11000</v>
      </c>
    </row>
    <row r="12" spans="1:6" x14ac:dyDescent="0.25">
      <c r="A12" t="s">
        <v>2036</v>
      </c>
      <c r="B12" t="s">
        <v>566</v>
      </c>
      <c r="C12" t="s">
        <v>1041</v>
      </c>
      <c r="D12" s="1">
        <v>46184</v>
      </c>
      <c r="E12" t="s">
        <v>1547</v>
      </c>
      <c r="F12">
        <v>37000</v>
      </c>
    </row>
    <row r="13" spans="1:6" x14ac:dyDescent="0.25">
      <c r="A13" t="s">
        <v>2035</v>
      </c>
      <c r="B13" t="s">
        <v>799</v>
      </c>
      <c r="C13" t="s">
        <v>1032</v>
      </c>
      <c r="D13" s="1">
        <v>46115</v>
      </c>
      <c r="E13" t="s">
        <v>1545</v>
      </c>
      <c r="F13">
        <v>12000</v>
      </c>
    </row>
    <row r="14" spans="1:6" x14ac:dyDescent="0.25">
      <c r="A14" t="s">
        <v>2034</v>
      </c>
      <c r="B14" t="s">
        <v>944</v>
      </c>
      <c r="C14" t="s">
        <v>1065</v>
      </c>
      <c r="D14" s="1">
        <v>46103</v>
      </c>
      <c r="E14" t="s">
        <v>1545</v>
      </c>
      <c r="F14">
        <v>42000</v>
      </c>
    </row>
    <row r="15" spans="1:6" x14ac:dyDescent="0.25">
      <c r="A15" t="s">
        <v>2033</v>
      </c>
      <c r="B15" t="s">
        <v>769</v>
      </c>
      <c r="C15" t="s">
        <v>1041</v>
      </c>
      <c r="D15" s="1">
        <v>46080</v>
      </c>
      <c r="E15" t="s">
        <v>1545</v>
      </c>
      <c r="F15">
        <v>2000</v>
      </c>
    </row>
    <row r="16" spans="1:6" x14ac:dyDescent="0.25">
      <c r="A16" t="s">
        <v>2032</v>
      </c>
      <c r="B16" t="s">
        <v>583</v>
      </c>
      <c r="C16" t="s">
        <v>1032</v>
      </c>
      <c r="D16" s="1">
        <v>46044</v>
      </c>
      <c r="E16" t="s">
        <v>1547</v>
      </c>
      <c r="F16">
        <v>35000</v>
      </c>
    </row>
    <row r="17" spans="1:6" x14ac:dyDescent="0.25">
      <c r="A17" t="s">
        <v>2031</v>
      </c>
      <c r="B17" t="s">
        <v>559</v>
      </c>
      <c r="C17" t="s">
        <v>1029</v>
      </c>
      <c r="D17" s="1">
        <v>46146</v>
      </c>
      <c r="E17" t="s">
        <v>1545</v>
      </c>
      <c r="F17">
        <v>33000</v>
      </c>
    </row>
    <row r="18" spans="1:6" x14ac:dyDescent="0.25">
      <c r="A18" t="s">
        <v>2030</v>
      </c>
      <c r="B18" t="s">
        <v>781</v>
      </c>
      <c r="C18" t="s">
        <v>1041</v>
      </c>
      <c r="D18" s="1">
        <v>46200</v>
      </c>
      <c r="E18" t="s">
        <v>1545</v>
      </c>
      <c r="F18">
        <v>5000</v>
      </c>
    </row>
    <row r="19" spans="1:6" x14ac:dyDescent="0.25">
      <c r="A19" t="s">
        <v>2029</v>
      </c>
      <c r="B19" t="s">
        <v>546</v>
      </c>
      <c r="C19" t="s">
        <v>1053</v>
      </c>
      <c r="D19" s="1">
        <v>46146</v>
      </c>
      <c r="E19" t="s">
        <v>1545</v>
      </c>
      <c r="F19">
        <v>30000</v>
      </c>
    </row>
    <row r="20" spans="1:6" x14ac:dyDescent="0.25">
      <c r="A20" t="s">
        <v>2028</v>
      </c>
      <c r="B20" t="s">
        <v>968</v>
      </c>
      <c r="C20" t="s">
        <v>1041</v>
      </c>
      <c r="D20" s="1">
        <v>46183</v>
      </c>
      <c r="E20" t="s">
        <v>1547</v>
      </c>
      <c r="F20">
        <v>30000</v>
      </c>
    </row>
    <row r="21" spans="1:6" x14ac:dyDescent="0.25">
      <c r="A21" t="s">
        <v>2027</v>
      </c>
      <c r="B21" t="s">
        <v>753</v>
      </c>
      <c r="C21" t="s">
        <v>1065</v>
      </c>
      <c r="D21" s="1">
        <v>46080</v>
      </c>
      <c r="E21" t="s">
        <v>1545</v>
      </c>
      <c r="F21">
        <v>21000</v>
      </c>
    </row>
    <row r="22" spans="1:6" x14ac:dyDescent="0.25">
      <c r="A22" t="s">
        <v>2026</v>
      </c>
      <c r="B22" t="s">
        <v>613</v>
      </c>
      <c r="C22" t="s">
        <v>1041</v>
      </c>
      <c r="D22" s="1">
        <v>46094</v>
      </c>
      <c r="E22" t="s">
        <v>1547</v>
      </c>
      <c r="F22">
        <v>37000</v>
      </c>
    </row>
    <row r="23" spans="1:6" x14ac:dyDescent="0.25">
      <c r="A23" t="s">
        <v>2025</v>
      </c>
      <c r="B23" t="s">
        <v>536</v>
      </c>
      <c r="C23" t="s">
        <v>1065</v>
      </c>
      <c r="D23" s="1">
        <v>46061</v>
      </c>
      <c r="E23" t="s">
        <v>1545</v>
      </c>
      <c r="F23">
        <v>42000</v>
      </c>
    </row>
    <row r="24" spans="1:6" x14ac:dyDescent="0.25">
      <c r="A24" t="s">
        <v>2024</v>
      </c>
      <c r="B24" t="s">
        <v>1015</v>
      </c>
      <c r="C24" t="s">
        <v>1055</v>
      </c>
      <c r="D24" s="1">
        <v>46045</v>
      </c>
      <c r="E24" t="s">
        <v>1545</v>
      </c>
      <c r="F24">
        <v>13000</v>
      </c>
    </row>
    <row r="25" spans="1:6" x14ac:dyDescent="0.25">
      <c r="A25" t="s">
        <v>2023</v>
      </c>
      <c r="B25" t="s">
        <v>856</v>
      </c>
      <c r="C25" t="s">
        <v>1055</v>
      </c>
      <c r="D25" s="1">
        <v>46192</v>
      </c>
      <c r="E25" t="s">
        <v>1545</v>
      </c>
      <c r="F25">
        <v>13000</v>
      </c>
    </row>
    <row r="26" spans="1:6" x14ac:dyDescent="0.25">
      <c r="A26" t="s">
        <v>2022</v>
      </c>
      <c r="B26" t="s">
        <v>882</v>
      </c>
      <c r="C26" t="s">
        <v>1055</v>
      </c>
      <c r="D26" s="1">
        <v>46091</v>
      </c>
      <c r="E26" t="s">
        <v>1547</v>
      </c>
      <c r="F26">
        <v>35000</v>
      </c>
    </row>
    <row r="27" spans="1:6" x14ac:dyDescent="0.25">
      <c r="A27" t="s">
        <v>2021</v>
      </c>
      <c r="B27" t="s">
        <v>567</v>
      </c>
      <c r="C27" t="s">
        <v>1055</v>
      </c>
      <c r="D27" s="1">
        <v>46122</v>
      </c>
      <c r="E27" t="s">
        <v>1545</v>
      </c>
      <c r="F27">
        <v>34000</v>
      </c>
    </row>
    <row r="28" spans="1:6" x14ac:dyDescent="0.25">
      <c r="A28" t="s">
        <v>2020</v>
      </c>
      <c r="B28" t="s">
        <v>610</v>
      </c>
      <c r="C28" t="s">
        <v>1025</v>
      </c>
      <c r="D28" s="1">
        <v>46124</v>
      </c>
      <c r="E28" t="s">
        <v>1547</v>
      </c>
      <c r="F28">
        <v>29000</v>
      </c>
    </row>
    <row r="29" spans="1:6" x14ac:dyDescent="0.25">
      <c r="A29" t="s">
        <v>2019</v>
      </c>
      <c r="B29" t="s">
        <v>579</v>
      </c>
      <c r="C29" t="s">
        <v>1025</v>
      </c>
      <c r="D29" s="1">
        <v>46183</v>
      </c>
      <c r="E29" t="s">
        <v>1545</v>
      </c>
      <c r="F29">
        <v>45000</v>
      </c>
    </row>
    <row r="30" spans="1:6" x14ac:dyDescent="0.25">
      <c r="A30" t="s">
        <v>2018</v>
      </c>
      <c r="B30" t="s">
        <v>867</v>
      </c>
      <c r="C30" t="s">
        <v>1038</v>
      </c>
      <c r="D30" s="1">
        <v>46098</v>
      </c>
      <c r="E30" t="s">
        <v>1547</v>
      </c>
      <c r="F30">
        <v>25000</v>
      </c>
    </row>
    <row r="31" spans="1:6" x14ac:dyDescent="0.25">
      <c r="A31" t="s">
        <v>2017</v>
      </c>
      <c r="B31" t="s">
        <v>902</v>
      </c>
      <c r="C31" t="s">
        <v>1038</v>
      </c>
      <c r="D31" s="1">
        <v>46135</v>
      </c>
      <c r="E31" t="s">
        <v>1545</v>
      </c>
      <c r="F31">
        <v>36000</v>
      </c>
    </row>
    <row r="32" spans="1:6" x14ac:dyDescent="0.25">
      <c r="A32" t="s">
        <v>2016</v>
      </c>
      <c r="B32" t="s">
        <v>677</v>
      </c>
      <c r="C32" t="s">
        <v>1034</v>
      </c>
      <c r="D32" s="1">
        <v>46185</v>
      </c>
      <c r="E32" t="s">
        <v>1547</v>
      </c>
      <c r="F32">
        <v>49000</v>
      </c>
    </row>
    <row r="33" spans="1:6" x14ac:dyDescent="0.25">
      <c r="A33" t="s">
        <v>2015</v>
      </c>
      <c r="B33" t="s">
        <v>760</v>
      </c>
      <c r="C33" t="s">
        <v>1025</v>
      </c>
      <c r="D33" s="1">
        <v>46162</v>
      </c>
      <c r="E33" t="s">
        <v>1547</v>
      </c>
      <c r="F33">
        <v>2000</v>
      </c>
    </row>
    <row r="34" spans="1:6" x14ac:dyDescent="0.25">
      <c r="A34" t="s">
        <v>2014</v>
      </c>
      <c r="B34" t="s">
        <v>744</v>
      </c>
      <c r="C34" t="s">
        <v>1025</v>
      </c>
      <c r="D34" s="1">
        <v>46087</v>
      </c>
      <c r="E34" t="s">
        <v>1547</v>
      </c>
      <c r="F34">
        <v>48000</v>
      </c>
    </row>
    <row r="35" spans="1:6" x14ac:dyDescent="0.25">
      <c r="A35" t="s">
        <v>2013</v>
      </c>
      <c r="B35" t="s">
        <v>912</v>
      </c>
      <c r="C35" t="s">
        <v>1055</v>
      </c>
      <c r="D35" s="1">
        <v>46169</v>
      </c>
      <c r="E35" t="s">
        <v>1547</v>
      </c>
      <c r="F35">
        <v>12000</v>
      </c>
    </row>
    <row r="36" spans="1:6" x14ac:dyDescent="0.25">
      <c r="A36" t="s">
        <v>2012</v>
      </c>
      <c r="B36" t="s">
        <v>559</v>
      </c>
      <c r="C36" t="s">
        <v>1025</v>
      </c>
      <c r="D36" s="1">
        <v>46131</v>
      </c>
      <c r="E36" t="s">
        <v>1547</v>
      </c>
      <c r="F36">
        <v>33000</v>
      </c>
    </row>
    <row r="37" spans="1:6" x14ac:dyDescent="0.25">
      <c r="A37" t="s">
        <v>2011</v>
      </c>
      <c r="B37" t="s">
        <v>820</v>
      </c>
      <c r="C37" t="s">
        <v>1025</v>
      </c>
      <c r="D37" s="1">
        <v>46059</v>
      </c>
      <c r="E37" t="s">
        <v>1545</v>
      </c>
      <c r="F37">
        <v>33000</v>
      </c>
    </row>
    <row r="38" spans="1:6" x14ac:dyDescent="0.25">
      <c r="A38" t="s">
        <v>2010</v>
      </c>
      <c r="B38" t="s">
        <v>600</v>
      </c>
      <c r="C38" t="s">
        <v>1053</v>
      </c>
      <c r="D38" s="1">
        <v>46127</v>
      </c>
      <c r="E38" t="s">
        <v>1547</v>
      </c>
      <c r="F38">
        <v>3000</v>
      </c>
    </row>
    <row r="39" spans="1:6" x14ac:dyDescent="0.25">
      <c r="A39" t="s">
        <v>2009</v>
      </c>
      <c r="B39" t="s">
        <v>664</v>
      </c>
      <c r="C39" t="s">
        <v>1053</v>
      </c>
      <c r="D39" s="1">
        <v>46042</v>
      </c>
      <c r="E39" t="s">
        <v>1547</v>
      </c>
      <c r="F39">
        <v>39000</v>
      </c>
    </row>
    <row r="40" spans="1:6" x14ac:dyDescent="0.25">
      <c r="A40" t="s">
        <v>2008</v>
      </c>
      <c r="B40" t="s">
        <v>694</v>
      </c>
      <c r="C40" t="s">
        <v>1049</v>
      </c>
      <c r="D40" s="1">
        <v>46065</v>
      </c>
      <c r="E40" t="s">
        <v>1545</v>
      </c>
      <c r="F40">
        <v>47000</v>
      </c>
    </row>
    <row r="41" spans="1:6" x14ac:dyDescent="0.25">
      <c r="A41" t="s">
        <v>2007</v>
      </c>
      <c r="B41" t="s">
        <v>644</v>
      </c>
      <c r="C41" t="s">
        <v>1053</v>
      </c>
      <c r="D41" s="1">
        <v>46023</v>
      </c>
      <c r="E41" t="s">
        <v>1547</v>
      </c>
      <c r="F41">
        <v>19000</v>
      </c>
    </row>
    <row r="42" spans="1:6" x14ac:dyDescent="0.25">
      <c r="A42" t="s">
        <v>2006</v>
      </c>
      <c r="B42" t="s">
        <v>1011</v>
      </c>
      <c r="C42" t="s">
        <v>1038</v>
      </c>
      <c r="D42" s="1">
        <v>46116</v>
      </c>
      <c r="E42" t="s">
        <v>1547</v>
      </c>
      <c r="F42">
        <v>13000</v>
      </c>
    </row>
    <row r="43" spans="1:6" x14ac:dyDescent="0.25">
      <c r="A43" t="s">
        <v>2005</v>
      </c>
      <c r="B43" t="s">
        <v>815</v>
      </c>
      <c r="C43" t="s">
        <v>1038</v>
      </c>
      <c r="D43" s="1">
        <v>46030</v>
      </c>
      <c r="E43" t="s">
        <v>1545</v>
      </c>
      <c r="F43">
        <v>31000</v>
      </c>
    </row>
    <row r="44" spans="1:6" x14ac:dyDescent="0.25">
      <c r="A44" t="s">
        <v>2004</v>
      </c>
      <c r="B44" t="s">
        <v>622</v>
      </c>
      <c r="C44" t="s">
        <v>1065</v>
      </c>
      <c r="D44" s="1">
        <v>46155</v>
      </c>
      <c r="E44" t="s">
        <v>1547</v>
      </c>
      <c r="F44">
        <v>8000</v>
      </c>
    </row>
    <row r="45" spans="1:6" x14ac:dyDescent="0.25">
      <c r="A45" t="s">
        <v>2003</v>
      </c>
      <c r="B45" t="s">
        <v>925</v>
      </c>
      <c r="C45" t="s">
        <v>1032</v>
      </c>
      <c r="D45" s="1">
        <v>46061</v>
      </c>
      <c r="E45" t="s">
        <v>1547</v>
      </c>
      <c r="F45">
        <v>19000</v>
      </c>
    </row>
    <row r="46" spans="1:6" x14ac:dyDescent="0.25">
      <c r="A46" t="s">
        <v>2002</v>
      </c>
      <c r="B46" t="s">
        <v>626</v>
      </c>
      <c r="C46" t="s">
        <v>1038</v>
      </c>
      <c r="D46" s="1">
        <v>46171</v>
      </c>
      <c r="E46" t="s">
        <v>1545</v>
      </c>
      <c r="F46">
        <v>16000</v>
      </c>
    </row>
    <row r="47" spans="1:6" x14ac:dyDescent="0.25">
      <c r="A47" t="s">
        <v>2001</v>
      </c>
      <c r="B47" t="s">
        <v>1002</v>
      </c>
      <c r="C47" t="s">
        <v>1055</v>
      </c>
      <c r="D47" s="1">
        <v>46152</v>
      </c>
      <c r="E47" t="s">
        <v>1547</v>
      </c>
      <c r="F47">
        <v>32000</v>
      </c>
    </row>
    <row r="48" spans="1:6" x14ac:dyDescent="0.25">
      <c r="A48" t="s">
        <v>2000</v>
      </c>
      <c r="B48" t="s">
        <v>901</v>
      </c>
      <c r="C48" t="s">
        <v>1055</v>
      </c>
      <c r="D48" s="1">
        <v>46112</v>
      </c>
      <c r="E48" t="s">
        <v>1545</v>
      </c>
      <c r="F48">
        <v>50000</v>
      </c>
    </row>
    <row r="49" spans="1:6" x14ac:dyDescent="0.25">
      <c r="A49" t="s">
        <v>1999</v>
      </c>
      <c r="B49" t="s">
        <v>709</v>
      </c>
      <c r="C49" t="s">
        <v>1055</v>
      </c>
      <c r="D49" s="1">
        <v>46190</v>
      </c>
      <c r="E49" t="s">
        <v>1547</v>
      </c>
      <c r="F49">
        <v>42000</v>
      </c>
    </row>
    <row r="50" spans="1:6" x14ac:dyDescent="0.25">
      <c r="A50" t="s">
        <v>1998</v>
      </c>
      <c r="B50" t="s">
        <v>730</v>
      </c>
      <c r="C50" t="s">
        <v>1032</v>
      </c>
      <c r="D50" s="1">
        <v>46173</v>
      </c>
      <c r="E50" t="s">
        <v>1547</v>
      </c>
      <c r="F50">
        <v>38000</v>
      </c>
    </row>
    <row r="51" spans="1:6" x14ac:dyDescent="0.25">
      <c r="A51" t="s">
        <v>1997</v>
      </c>
      <c r="B51" t="s">
        <v>565</v>
      </c>
      <c r="C51" t="s">
        <v>1025</v>
      </c>
      <c r="D51" s="1">
        <v>46178</v>
      </c>
      <c r="E51" t="s">
        <v>1547</v>
      </c>
      <c r="F51">
        <v>19000</v>
      </c>
    </row>
    <row r="52" spans="1:6" x14ac:dyDescent="0.25">
      <c r="A52" t="s">
        <v>1996</v>
      </c>
      <c r="B52" t="s">
        <v>892</v>
      </c>
      <c r="C52" t="s">
        <v>1025</v>
      </c>
      <c r="D52" s="1">
        <v>46147</v>
      </c>
      <c r="E52" t="s">
        <v>1547</v>
      </c>
      <c r="F52">
        <v>14000</v>
      </c>
    </row>
    <row r="53" spans="1:6" x14ac:dyDescent="0.25">
      <c r="A53" t="s">
        <v>1995</v>
      </c>
      <c r="B53" t="s">
        <v>753</v>
      </c>
      <c r="C53" t="s">
        <v>1025</v>
      </c>
      <c r="D53" s="1">
        <v>46189</v>
      </c>
      <c r="E53" t="s">
        <v>1547</v>
      </c>
      <c r="F53">
        <v>8000</v>
      </c>
    </row>
    <row r="54" spans="1:6" x14ac:dyDescent="0.25">
      <c r="A54" t="s">
        <v>1994</v>
      </c>
      <c r="B54" t="s">
        <v>970</v>
      </c>
      <c r="C54" t="s">
        <v>1065</v>
      </c>
      <c r="D54" s="1">
        <v>46115</v>
      </c>
      <c r="E54" t="s">
        <v>1545</v>
      </c>
      <c r="F54">
        <v>40000</v>
      </c>
    </row>
    <row r="55" spans="1:6" x14ac:dyDescent="0.25">
      <c r="A55" t="s">
        <v>1993</v>
      </c>
      <c r="B55" t="s">
        <v>554</v>
      </c>
      <c r="C55" t="s">
        <v>1041</v>
      </c>
      <c r="D55" s="1">
        <v>46042</v>
      </c>
      <c r="E55" t="s">
        <v>1547</v>
      </c>
      <c r="F55">
        <v>25000</v>
      </c>
    </row>
    <row r="56" spans="1:6" x14ac:dyDescent="0.25">
      <c r="A56" t="s">
        <v>1992</v>
      </c>
      <c r="B56" t="s">
        <v>838</v>
      </c>
      <c r="C56" t="s">
        <v>1038</v>
      </c>
      <c r="D56" s="1">
        <v>46126</v>
      </c>
      <c r="E56" t="s">
        <v>1547</v>
      </c>
      <c r="F56">
        <v>24000</v>
      </c>
    </row>
    <row r="57" spans="1:6" x14ac:dyDescent="0.25">
      <c r="A57" t="s">
        <v>1991</v>
      </c>
      <c r="B57" t="s">
        <v>568</v>
      </c>
      <c r="C57" t="s">
        <v>1029</v>
      </c>
      <c r="D57" s="1">
        <v>46102</v>
      </c>
      <c r="E57" t="s">
        <v>1545</v>
      </c>
      <c r="F57">
        <v>7000</v>
      </c>
    </row>
    <row r="58" spans="1:6" x14ac:dyDescent="0.25">
      <c r="A58" t="s">
        <v>1990</v>
      </c>
      <c r="B58" t="s">
        <v>568</v>
      </c>
      <c r="C58" t="s">
        <v>1065</v>
      </c>
      <c r="D58" s="1">
        <v>46094</v>
      </c>
      <c r="E58" t="s">
        <v>1545</v>
      </c>
      <c r="F58">
        <v>41000</v>
      </c>
    </row>
    <row r="59" spans="1:6" x14ac:dyDescent="0.25">
      <c r="A59" t="s">
        <v>1989</v>
      </c>
      <c r="B59" t="s">
        <v>625</v>
      </c>
      <c r="C59" t="s">
        <v>1032</v>
      </c>
      <c r="D59" s="1">
        <v>46169</v>
      </c>
      <c r="E59" t="s">
        <v>1547</v>
      </c>
      <c r="F59">
        <v>40000</v>
      </c>
    </row>
    <row r="60" spans="1:6" x14ac:dyDescent="0.25">
      <c r="A60" t="s">
        <v>1988</v>
      </c>
      <c r="B60" t="s">
        <v>599</v>
      </c>
      <c r="C60" t="s">
        <v>1053</v>
      </c>
      <c r="D60" s="1">
        <v>46191</v>
      </c>
      <c r="E60" t="s">
        <v>1547</v>
      </c>
      <c r="F60">
        <v>50000</v>
      </c>
    </row>
    <row r="61" spans="1:6" x14ac:dyDescent="0.25">
      <c r="A61" t="s">
        <v>1987</v>
      </c>
      <c r="B61" t="s">
        <v>985</v>
      </c>
      <c r="C61" t="s">
        <v>1034</v>
      </c>
      <c r="D61" s="1">
        <v>46122</v>
      </c>
      <c r="E61" t="s">
        <v>1547</v>
      </c>
      <c r="F61">
        <v>16000</v>
      </c>
    </row>
    <row r="62" spans="1:6" x14ac:dyDescent="0.25">
      <c r="A62" t="s">
        <v>1986</v>
      </c>
      <c r="B62" t="s">
        <v>1017</v>
      </c>
      <c r="C62" t="s">
        <v>1038</v>
      </c>
      <c r="D62" s="1">
        <v>46120</v>
      </c>
      <c r="E62" t="s">
        <v>1547</v>
      </c>
      <c r="F62">
        <v>34000</v>
      </c>
    </row>
    <row r="63" spans="1:6" x14ac:dyDescent="0.25">
      <c r="A63" t="s">
        <v>1985</v>
      </c>
      <c r="B63" t="s">
        <v>976</v>
      </c>
      <c r="C63" t="s">
        <v>1055</v>
      </c>
      <c r="D63" s="1">
        <v>46150</v>
      </c>
      <c r="E63" t="s">
        <v>1545</v>
      </c>
      <c r="F63">
        <v>27000</v>
      </c>
    </row>
    <row r="64" spans="1:6" x14ac:dyDescent="0.25">
      <c r="A64" t="s">
        <v>1984</v>
      </c>
      <c r="B64" t="s">
        <v>935</v>
      </c>
      <c r="C64" t="s">
        <v>1065</v>
      </c>
      <c r="D64" s="1">
        <v>46085</v>
      </c>
      <c r="E64" t="s">
        <v>1545</v>
      </c>
      <c r="F64">
        <v>40000</v>
      </c>
    </row>
    <row r="65" spans="1:6" x14ac:dyDescent="0.25">
      <c r="A65" t="s">
        <v>1983</v>
      </c>
      <c r="B65" t="s">
        <v>658</v>
      </c>
      <c r="C65" t="s">
        <v>1065</v>
      </c>
      <c r="D65" s="1">
        <v>46058</v>
      </c>
      <c r="E65" t="s">
        <v>1547</v>
      </c>
      <c r="F65">
        <v>26000</v>
      </c>
    </row>
    <row r="66" spans="1:6" x14ac:dyDescent="0.25">
      <c r="A66" t="s">
        <v>1982</v>
      </c>
      <c r="B66" t="s">
        <v>709</v>
      </c>
      <c r="C66" t="s">
        <v>1032</v>
      </c>
      <c r="D66" s="1">
        <v>46201</v>
      </c>
      <c r="E66" t="s">
        <v>1547</v>
      </c>
      <c r="F66">
        <v>36000</v>
      </c>
    </row>
    <row r="67" spans="1:6" x14ac:dyDescent="0.25">
      <c r="A67" t="s">
        <v>1981</v>
      </c>
      <c r="B67" t="s">
        <v>1010</v>
      </c>
      <c r="C67" t="s">
        <v>1029</v>
      </c>
      <c r="D67" s="1">
        <v>46116</v>
      </c>
      <c r="E67" t="s">
        <v>1545</v>
      </c>
      <c r="F67">
        <v>34000</v>
      </c>
    </row>
    <row r="68" spans="1:6" x14ac:dyDescent="0.25">
      <c r="A68" t="s">
        <v>1980</v>
      </c>
      <c r="B68" t="s">
        <v>908</v>
      </c>
      <c r="C68" t="s">
        <v>1034</v>
      </c>
      <c r="D68" s="1">
        <v>46106</v>
      </c>
      <c r="E68" t="s">
        <v>1547</v>
      </c>
      <c r="F68">
        <v>5000</v>
      </c>
    </row>
    <row r="69" spans="1:6" x14ac:dyDescent="0.25">
      <c r="A69" t="s">
        <v>1979</v>
      </c>
      <c r="B69" t="s">
        <v>778</v>
      </c>
      <c r="C69" t="s">
        <v>1041</v>
      </c>
      <c r="D69" s="1">
        <v>46188</v>
      </c>
      <c r="E69" t="s">
        <v>1547</v>
      </c>
      <c r="F69">
        <v>6000</v>
      </c>
    </row>
    <row r="70" spans="1:6" x14ac:dyDescent="0.25">
      <c r="A70" t="s">
        <v>1978</v>
      </c>
      <c r="B70" t="s">
        <v>888</v>
      </c>
      <c r="C70" t="s">
        <v>1053</v>
      </c>
      <c r="D70" s="1">
        <v>46168</v>
      </c>
      <c r="E70" t="s">
        <v>1547</v>
      </c>
      <c r="F70">
        <v>17000</v>
      </c>
    </row>
    <row r="71" spans="1:6" x14ac:dyDescent="0.25">
      <c r="A71" t="s">
        <v>1977</v>
      </c>
      <c r="B71" t="s">
        <v>885</v>
      </c>
      <c r="C71" t="s">
        <v>1041</v>
      </c>
      <c r="D71" s="1">
        <v>46156</v>
      </c>
      <c r="E71" t="s">
        <v>1547</v>
      </c>
      <c r="F71">
        <v>48000</v>
      </c>
    </row>
    <row r="72" spans="1:6" x14ac:dyDescent="0.25">
      <c r="A72" t="s">
        <v>1976</v>
      </c>
      <c r="B72" t="s">
        <v>812</v>
      </c>
      <c r="C72" t="s">
        <v>1034</v>
      </c>
      <c r="D72" s="1">
        <v>46125</v>
      </c>
      <c r="E72" t="s">
        <v>1547</v>
      </c>
      <c r="F72">
        <v>12000</v>
      </c>
    </row>
    <row r="73" spans="1:6" x14ac:dyDescent="0.25">
      <c r="A73" t="s">
        <v>1975</v>
      </c>
      <c r="B73" t="s">
        <v>674</v>
      </c>
      <c r="C73" t="s">
        <v>1041</v>
      </c>
      <c r="D73" s="1">
        <v>46058</v>
      </c>
      <c r="E73" t="s">
        <v>1545</v>
      </c>
      <c r="F73">
        <v>15000</v>
      </c>
    </row>
    <row r="74" spans="1:6" x14ac:dyDescent="0.25">
      <c r="A74" t="s">
        <v>1974</v>
      </c>
      <c r="B74" t="s">
        <v>549</v>
      </c>
      <c r="C74" t="s">
        <v>1034</v>
      </c>
      <c r="D74" s="1">
        <v>46196</v>
      </c>
      <c r="E74" t="s">
        <v>1547</v>
      </c>
      <c r="F74">
        <v>27000</v>
      </c>
    </row>
    <row r="75" spans="1:6" x14ac:dyDescent="0.25">
      <c r="A75" t="s">
        <v>1973</v>
      </c>
      <c r="B75" t="s">
        <v>720</v>
      </c>
      <c r="C75" t="s">
        <v>1041</v>
      </c>
      <c r="D75" s="1">
        <v>46049</v>
      </c>
      <c r="E75" t="s">
        <v>1547</v>
      </c>
      <c r="F75">
        <v>19000</v>
      </c>
    </row>
    <row r="76" spans="1:6" x14ac:dyDescent="0.25">
      <c r="A76" t="s">
        <v>1972</v>
      </c>
      <c r="B76" t="s">
        <v>807</v>
      </c>
      <c r="C76" t="s">
        <v>1041</v>
      </c>
      <c r="D76" s="1">
        <v>46144</v>
      </c>
      <c r="E76" t="s">
        <v>1545</v>
      </c>
      <c r="F76">
        <v>4000</v>
      </c>
    </row>
    <row r="77" spans="1:6" x14ac:dyDescent="0.25">
      <c r="A77" t="s">
        <v>1971</v>
      </c>
      <c r="B77" t="s">
        <v>676</v>
      </c>
      <c r="C77" t="s">
        <v>1041</v>
      </c>
      <c r="D77" s="1">
        <v>46080</v>
      </c>
      <c r="E77" t="s">
        <v>1545</v>
      </c>
      <c r="F77">
        <v>14000</v>
      </c>
    </row>
    <row r="78" spans="1:6" x14ac:dyDescent="0.25">
      <c r="A78" t="s">
        <v>1970</v>
      </c>
      <c r="B78" t="s">
        <v>690</v>
      </c>
      <c r="C78" t="s">
        <v>1038</v>
      </c>
      <c r="D78" s="1">
        <v>46069</v>
      </c>
      <c r="E78" t="s">
        <v>1545</v>
      </c>
      <c r="F78">
        <v>24000</v>
      </c>
    </row>
    <row r="79" spans="1:6" x14ac:dyDescent="0.25">
      <c r="A79" t="s">
        <v>1969</v>
      </c>
      <c r="B79" t="s">
        <v>941</v>
      </c>
      <c r="C79" t="s">
        <v>1025</v>
      </c>
      <c r="D79" s="1">
        <v>46125</v>
      </c>
      <c r="E79" t="s">
        <v>1547</v>
      </c>
      <c r="F79">
        <v>29000</v>
      </c>
    </row>
    <row r="80" spans="1:6" x14ac:dyDescent="0.25">
      <c r="A80" t="s">
        <v>1968</v>
      </c>
      <c r="B80" t="s">
        <v>701</v>
      </c>
      <c r="C80" t="s">
        <v>1032</v>
      </c>
      <c r="D80" s="1">
        <v>46057</v>
      </c>
      <c r="E80" t="s">
        <v>1545</v>
      </c>
      <c r="F80">
        <v>13000</v>
      </c>
    </row>
    <row r="81" spans="1:6" x14ac:dyDescent="0.25">
      <c r="A81" t="s">
        <v>1967</v>
      </c>
      <c r="B81" t="s">
        <v>888</v>
      </c>
      <c r="C81" t="s">
        <v>1055</v>
      </c>
      <c r="D81" s="1">
        <v>46178</v>
      </c>
      <c r="E81" t="s">
        <v>1547</v>
      </c>
      <c r="F81">
        <v>21000</v>
      </c>
    </row>
    <row r="82" spans="1:6" x14ac:dyDescent="0.25">
      <c r="A82" t="s">
        <v>1966</v>
      </c>
      <c r="B82" t="s">
        <v>934</v>
      </c>
      <c r="C82" t="s">
        <v>1055</v>
      </c>
      <c r="D82" s="1">
        <v>46048</v>
      </c>
      <c r="E82" t="s">
        <v>1545</v>
      </c>
      <c r="F82">
        <v>3000</v>
      </c>
    </row>
    <row r="83" spans="1:6" x14ac:dyDescent="0.25">
      <c r="A83" t="s">
        <v>1965</v>
      </c>
      <c r="B83" t="s">
        <v>886</v>
      </c>
      <c r="C83" t="s">
        <v>1029</v>
      </c>
      <c r="D83" s="1">
        <v>46098</v>
      </c>
      <c r="E83" t="s">
        <v>1545</v>
      </c>
      <c r="F83">
        <v>33000</v>
      </c>
    </row>
    <row r="84" spans="1:6" x14ac:dyDescent="0.25">
      <c r="A84" t="s">
        <v>1964</v>
      </c>
      <c r="B84" t="s">
        <v>920</v>
      </c>
      <c r="C84" t="s">
        <v>1034</v>
      </c>
      <c r="D84" s="1">
        <v>46047</v>
      </c>
      <c r="E84" t="s">
        <v>1545</v>
      </c>
      <c r="F84">
        <v>17000</v>
      </c>
    </row>
    <row r="85" spans="1:6" x14ac:dyDescent="0.25">
      <c r="A85" t="s">
        <v>1963</v>
      </c>
      <c r="B85" t="s">
        <v>645</v>
      </c>
      <c r="C85" t="s">
        <v>1038</v>
      </c>
      <c r="D85" s="1">
        <v>46094</v>
      </c>
      <c r="E85" t="s">
        <v>1547</v>
      </c>
      <c r="F85">
        <v>33000</v>
      </c>
    </row>
    <row r="86" spans="1:6" x14ac:dyDescent="0.25">
      <c r="A86" t="s">
        <v>1962</v>
      </c>
      <c r="B86" t="s">
        <v>672</v>
      </c>
      <c r="C86" t="s">
        <v>1038</v>
      </c>
      <c r="D86" s="1">
        <v>46082</v>
      </c>
      <c r="E86" t="s">
        <v>1547</v>
      </c>
      <c r="F86">
        <v>47000</v>
      </c>
    </row>
    <row r="87" spans="1:6" x14ac:dyDescent="0.25">
      <c r="A87" t="s">
        <v>1961</v>
      </c>
      <c r="B87" t="s">
        <v>840</v>
      </c>
      <c r="C87" t="s">
        <v>1025</v>
      </c>
      <c r="D87" s="1">
        <v>46108</v>
      </c>
      <c r="E87" t="s">
        <v>1545</v>
      </c>
      <c r="F87">
        <v>37000</v>
      </c>
    </row>
    <row r="88" spans="1:6" x14ac:dyDescent="0.25">
      <c r="A88" t="s">
        <v>1960</v>
      </c>
      <c r="B88" t="s">
        <v>989</v>
      </c>
      <c r="C88" t="s">
        <v>1032</v>
      </c>
      <c r="D88" s="1">
        <v>46167</v>
      </c>
      <c r="E88" t="s">
        <v>1547</v>
      </c>
      <c r="F88">
        <v>2000</v>
      </c>
    </row>
    <row r="89" spans="1:6" x14ac:dyDescent="0.25">
      <c r="A89" t="s">
        <v>1959</v>
      </c>
      <c r="B89" t="s">
        <v>745</v>
      </c>
      <c r="C89" t="s">
        <v>1038</v>
      </c>
      <c r="D89" s="1">
        <v>46052</v>
      </c>
      <c r="E89" t="s">
        <v>1545</v>
      </c>
      <c r="F89">
        <v>24000</v>
      </c>
    </row>
    <row r="90" spans="1:6" x14ac:dyDescent="0.25">
      <c r="A90" t="s">
        <v>1958</v>
      </c>
      <c r="B90" t="s">
        <v>929</v>
      </c>
      <c r="C90" t="s">
        <v>1065</v>
      </c>
      <c r="D90" s="1">
        <v>46182</v>
      </c>
      <c r="E90" t="s">
        <v>1547</v>
      </c>
      <c r="F90">
        <v>35000</v>
      </c>
    </row>
    <row r="91" spans="1:6" x14ac:dyDescent="0.25">
      <c r="A91" t="s">
        <v>1957</v>
      </c>
      <c r="B91" t="s">
        <v>957</v>
      </c>
      <c r="C91" t="s">
        <v>1049</v>
      </c>
      <c r="D91" s="1">
        <v>46171</v>
      </c>
      <c r="E91" t="s">
        <v>1547</v>
      </c>
      <c r="F91">
        <v>1000</v>
      </c>
    </row>
    <row r="92" spans="1:6" x14ac:dyDescent="0.25">
      <c r="A92" t="s">
        <v>1956</v>
      </c>
      <c r="B92" t="s">
        <v>973</v>
      </c>
      <c r="C92" t="s">
        <v>1053</v>
      </c>
      <c r="D92" s="1">
        <v>46133</v>
      </c>
      <c r="E92" t="s">
        <v>1547</v>
      </c>
      <c r="F92">
        <v>31000</v>
      </c>
    </row>
    <row r="93" spans="1:6" x14ac:dyDescent="0.25">
      <c r="A93" t="s">
        <v>1955</v>
      </c>
      <c r="B93" t="s">
        <v>757</v>
      </c>
      <c r="C93" t="s">
        <v>1041</v>
      </c>
      <c r="D93" s="1">
        <v>46165</v>
      </c>
      <c r="E93" t="s">
        <v>1547</v>
      </c>
      <c r="F93">
        <v>15000</v>
      </c>
    </row>
    <row r="94" spans="1:6" x14ac:dyDescent="0.25">
      <c r="A94" t="s">
        <v>1954</v>
      </c>
      <c r="B94" t="s">
        <v>760</v>
      </c>
      <c r="C94" t="s">
        <v>1029</v>
      </c>
      <c r="D94" s="1">
        <v>46114</v>
      </c>
      <c r="E94" t="s">
        <v>1545</v>
      </c>
      <c r="F94">
        <v>31000</v>
      </c>
    </row>
    <row r="95" spans="1:6" x14ac:dyDescent="0.25">
      <c r="A95" t="s">
        <v>1953</v>
      </c>
      <c r="B95" t="s">
        <v>964</v>
      </c>
      <c r="C95" t="s">
        <v>1032</v>
      </c>
      <c r="D95" s="1">
        <v>46050</v>
      </c>
      <c r="E95" t="s">
        <v>1547</v>
      </c>
      <c r="F95">
        <v>5000</v>
      </c>
    </row>
    <row r="96" spans="1:6" x14ac:dyDescent="0.25">
      <c r="A96" t="s">
        <v>1952</v>
      </c>
      <c r="B96" t="s">
        <v>895</v>
      </c>
      <c r="C96" t="s">
        <v>1055</v>
      </c>
      <c r="D96" s="1">
        <v>46091</v>
      </c>
      <c r="E96" t="s">
        <v>1547</v>
      </c>
      <c r="F96">
        <v>41000</v>
      </c>
    </row>
    <row r="97" spans="1:6" x14ac:dyDescent="0.25">
      <c r="A97" t="s">
        <v>1951</v>
      </c>
      <c r="B97" t="s">
        <v>839</v>
      </c>
      <c r="C97" t="s">
        <v>1032</v>
      </c>
      <c r="D97" s="1">
        <v>46104</v>
      </c>
      <c r="E97" t="s">
        <v>1545</v>
      </c>
      <c r="F97">
        <v>19000</v>
      </c>
    </row>
    <row r="98" spans="1:6" x14ac:dyDescent="0.25">
      <c r="A98" t="s">
        <v>1950</v>
      </c>
      <c r="B98" t="s">
        <v>777</v>
      </c>
      <c r="C98" t="s">
        <v>1032</v>
      </c>
      <c r="D98" s="1">
        <v>46108</v>
      </c>
      <c r="E98" t="s">
        <v>1547</v>
      </c>
      <c r="F98">
        <v>42000</v>
      </c>
    </row>
    <row r="99" spans="1:6" x14ac:dyDescent="0.25">
      <c r="A99" t="s">
        <v>1949</v>
      </c>
      <c r="B99" t="s">
        <v>804</v>
      </c>
      <c r="C99" t="s">
        <v>1025</v>
      </c>
      <c r="D99" s="1">
        <v>46068</v>
      </c>
      <c r="E99" t="s">
        <v>1547</v>
      </c>
      <c r="F99">
        <v>9000</v>
      </c>
    </row>
    <row r="100" spans="1:6" x14ac:dyDescent="0.25">
      <c r="A100" t="s">
        <v>1948</v>
      </c>
      <c r="B100" t="s">
        <v>725</v>
      </c>
      <c r="C100" t="s">
        <v>1025</v>
      </c>
      <c r="D100" s="1">
        <v>46111</v>
      </c>
      <c r="E100" t="s">
        <v>1547</v>
      </c>
      <c r="F100">
        <v>38000</v>
      </c>
    </row>
    <row r="101" spans="1:6" x14ac:dyDescent="0.25">
      <c r="A101" t="s">
        <v>1947</v>
      </c>
      <c r="B101" t="s">
        <v>962</v>
      </c>
      <c r="C101" t="s">
        <v>1055</v>
      </c>
      <c r="D101" s="1">
        <v>46163</v>
      </c>
      <c r="E101" t="s">
        <v>1545</v>
      </c>
      <c r="F101">
        <v>27000</v>
      </c>
    </row>
    <row r="102" spans="1:6" x14ac:dyDescent="0.25">
      <c r="A102" t="s">
        <v>1946</v>
      </c>
      <c r="B102" t="s">
        <v>824</v>
      </c>
      <c r="C102" t="s">
        <v>1049</v>
      </c>
      <c r="D102" s="1">
        <v>46188</v>
      </c>
      <c r="E102" t="s">
        <v>1545</v>
      </c>
      <c r="F102">
        <v>13000</v>
      </c>
    </row>
    <row r="103" spans="1:6" x14ac:dyDescent="0.25">
      <c r="A103" t="s">
        <v>1945</v>
      </c>
      <c r="B103" t="s">
        <v>1019</v>
      </c>
      <c r="C103" t="s">
        <v>1025</v>
      </c>
      <c r="D103" s="1">
        <v>46064</v>
      </c>
      <c r="E103" t="s">
        <v>1545</v>
      </c>
      <c r="F103">
        <v>5000</v>
      </c>
    </row>
    <row r="104" spans="1:6" x14ac:dyDescent="0.25">
      <c r="A104" t="s">
        <v>1944</v>
      </c>
      <c r="B104" t="s">
        <v>808</v>
      </c>
      <c r="C104" t="s">
        <v>1034</v>
      </c>
      <c r="D104" s="1">
        <v>46040</v>
      </c>
      <c r="E104" t="s">
        <v>1545</v>
      </c>
      <c r="F104">
        <v>34000</v>
      </c>
    </row>
    <row r="105" spans="1:6" x14ac:dyDescent="0.25">
      <c r="A105" t="s">
        <v>1943</v>
      </c>
      <c r="B105" t="s">
        <v>994</v>
      </c>
      <c r="C105" t="s">
        <v>1025</v>
      </c>
      <c r="D105" s="1">
        <v>46175</v>
      </c>
      <c r="E105" t="s">
        <v>1547</v>
      </c>
      <c r="F105">
        <v>46000</v>
      </c>
    </row>
    <row r="106" spans="1:6" x14ac:dyDescent="0.25">
      <c r="A106" t="s">
        <v>1942</v>
      </c>
      <c r="B106" t="s">
        <v>925</v>
      </c>
      <c r="C106" t="s">
        <v>1029</v>
      </c>
      <c r="D106" s="1">
        <v>46025</v>
      </c>
      <c r="E106" t="s">
        <v>1547</v>
      </c>
      <c r="F106">
        <v>36000</v>
      </c>
    </row>
    <row r="107" spans="1:6" x14ac:dyDescent="0.25">
      <c r="A107" t="s">
        <v>1941</v>
      </c>
      <c r="B107" t="s">
        <v>901</v>
      </c>
      <c r="C107" t="s">
        <v>1025</v>
      </c>
      <c r="D107" s="1">
        <v>46101</v>
      </c>
      <c r="E107" t="s">
        <v>1545</v>
      </c>
      <c r="F107">
        <v>10000</v>
      </c>
    </row>
    <row r="108" spans="1:6" x14ac:dyDescent="0.25">
      <c r="A108" t="s">
        <v>1940</v>
      </c>
      <c r="B108" t="s">
        <v>813</v>
      </c>
      <c r="C108" t="s">
        <v>1025</v>
      </c>
      <c r="D108" s="1">
        <v>46098</v>
      </c>
      <c r="E108" t="s">
        <v>1545</v>
      </c>
      <c r="F108">
        <v>38000</v>
      </c>
    </row>
    <row r="109" spans="1:6" x14ac:dyDescent="0.25">
      <c r="A109" t="s">
        <v>1939</v>
      </c>
      <c r="B109" t="s">
        <v>941</v>
      </c>
      <c r="C109" t="s">
        <v>1053</v>
      </c>
      <c r="D109" s="1">
        <v>46042</v>
      </c>
      <c r="E109" t="s">
        <v>1547</v>
      </c>
      <c r="F109">
        <v>48000</v>
      </c>
    </row>
    <row r="110" spans="1:6" x14ac:dyDescent="0.25">
      <c r="A110" t="s">
        <v>1938</v>
      </c>
      <c r="B110" t="s">
        <v>899</v>
      </c>
      <c r="C110" t="s">
        <v>1041</v>
      </c>
      <c r="D110" s="1">
        <v>46028</v>
      </c>
      <c r="E110" t="s">
        <v>1545</v>
      </c>
      <c r="F110">
        <v>40000</v>
      </c>
    </row>
    <row r="111" spans="1:6" x14ac:dyDescent="0.25">
      <c r="A111" t="s">
        <v>1937</v>
      </c>
      <c r="B111" t="s">
        <v>905</v>
      </c>
      <c r="C111" t="s">
        <v>1034</v>
      </c>
      <c r="D111" s="1">
        <v>46109</v>
      </c>
      <c r="E111" t="s">
        <v>1547</v>
      </c>
      <c r="F111">
        <v>39000</v>
      </c>
    </row>
    <row r="112" spans="1:6" x14ac:dyDescent="0.25">
      <c r="A112" t="s">
        <v>1936</v>
      </c>
      <c r="B112" t="s">
        <v>893</v>
      </c>
      <c r="C112" t="s">
        <v>1034</v>
      </c>
      <c r="D112" s="1">
        <v>46088</v>
      </c>
      <c r="E112" t="s">
        <v>1545</v>
      </c>
      <c r="F112">
        <v>4000</v>
      </c>
    </row>
    <row r="113" spans="1:6" x14ac:dyDescent="0.25">
      <c r="A113" t="s">
        <v>1935</v>
      </c>
      <c r="B113" t="s">
        <v>914</v>
      </c>
      <c r="C113" t="s">
        <v>1053</v>
      </c>
      <c r="D113" s="1">
        <v>46072</v>
      </c>
      <c r="E113" t="s">
        <v>1545</v>
      </c>
      <c r="F113">
        <v>45000</v>
      </c>
    </row>
    <row r="114" spans="1:6" x14ac:dyDescent="0.25">
      <c r="A114" t="s">
        <v>1934</v>
      </c>
      <c r="B114" t="s">
        <v>729</v>
      </c>
      <c r="C114" t="s">
        <v>1025</v>
      </c>
      <c r="D114" s="1">
        <v>46164</v>
      </c>
      <c r="E114" t="s">
        <v>1545</v>
      </c>
      <c r="F114">
        <v>14000</v>
      </c>
    </row>
    <row r="115" spans="1:6" x14ac:dyDescent="0.25">
      <c r="A115" t="s">
        <v>1933</v>
      </c>
      <c r="B115" t="s">
        <v>674</v>
      </c>
      <c r="C115" t="s">
        <v>1029</v>
      </c>
      <c r="D115" s="1">
        <v>46095</v>
      </c>
      <c r="E115" t="s">
        <v>1545</v>
      </c>
      <c r="F115">
        <v>42000</v>
      </c>
    </row>
    <row r="116" spans="1:6" x14ac:dyDescent="0.25">
      <c r="A116" t="s">
        <v>1932</v>
      </c>
      <c r="B116" t="s">
        <v>768</v>
      </c>
      <c r="C116" t="s">
        <v>1065</v>
      </c>
      <c r="D116" s="1">
        <v>46078</v>
      </c>
      <c r="E116" t="s">
        <v>1545</v>
      </c>
      <c r="F116">
        <v>14000</v>
      </c>
    </row>
    <row r="117" spans="1:6" x14ac:dyDescent="0.25">
      <c r="A117" t="s">
        <v>1931</v>
      </c>
      <c r="B117" t="s">
        <v>732</v>
      </c>
      <c r="C117" t="s">
        <v>1065</v>
      </c>
      <c r="D117" s="1">
        <v>46085</v>
      </c>
      <c r="E117" t="s">
        <v>1547</v>
      </c>
      <c r="F117">
        <v>44000</v>
      </c>
    </row>
    <row r="118" spans="1:6" x14ac:dyDescent="0.25">
      <c r="A118" t="s">
        <v>1930</v>
      </c>
      <c r="B118" t="s">
        <v>687</v>
      </c>
      <c r="C118" t="s">
        <v>1049</v>
      </c>
      <c r="D118" s="1">
        <v>46140</v>
      </c>
      <c r="E118" t="s">
        <v>1545</v>
      </c>
      <c r="F118">
        <v>20000</v>
      </c>
    </row>
    <row r="119" spans="1:6" x14ac:dyDescent="0.25">
      <c r="A119" t="s">
        <v>1929</v>
      </c>
      <c r="B119" t="s">
        <v>845</v>
      </c>
      <c r="C119" t="s">
        <v>1032</v>
      </c>
      <c r="D119" s="1">
        <v>46153</v>
      </c>
      <c r="E119" t="s">
        <v>1545</v>
      </c>
      <c r="F119">
        <v>50000</v>
      </c>
    </row>
    <row r="120" spans="1:6" x14ac:dyDescent="0.25">
      <c r="A120" t="s">
        <v>1928</v>
      </c>
      <c r="B120" t="s">
        <v>570</v>
      </c>
      <c r="C120" t="s">
        <v>1038</v>
      </c>
      <c r="D120" s="1">
        <v>46198</v>
      </c>
      <c r="E120" t="s">
        <v>1547</v>
      </c>
      <c r="F120">
        <v>26000</v>
      </c>
    </row>
    <row r="121" spans="1:6" x14ac:dyDescent="0.25">
      <c r="A121" t="s">
        <v>1927</v>
      </c>
      <c r="B121" t="s">
        <v>843</v>
      </c>
      <c r="C121" t="s">
        <v>1038</v>
      </c>
      <c r="D121" s="1">
        <v>46025</v>
      </c>
      <c r="E121" t="s">
        <v>1547</v>
      </c>
      <c r="F121">
        <v>1000</v>
      </c>
    </row>
    <row r="122" spans="1:6" x14ac:dyDescent="0.25">
      <c r="A122" t="s">
        <v>1926</v>
      </c>
      <c r="B122" t="s">
        <v>882</v>
      </c>
      <c r="C122" t="s">
        <v>1055</v>
      </c>
      <c r="D122" s="1">
        <v>46147</v>
      </c>
      <c r="E122" t="s">
        <v>1547</v>
      </c>
      <c r="F122">
        <v>12000</v>
      </c>
    </row>
    <row r="123" spans="1:6" x14ac:dyDescent="0.25">
      <c r="A123" t="s">
        <v>1925</v>
      </c>
      <c r="B123" t="s">
        <v>682</v>
      </c>
      <c r="C123" t="s">
        <v>1041</v>
      </c>
      <c r="D123" s="1">
        <v>46083</v>
      </c>
      <c r="E123" t="s">
        <v>1545</v>
      </c>
      <c r="F123">
        <v>18000</v>
      </c>
    </row>
    <row r="124" spans="1:6" x14ac:dyDescent="0.25">
      <c r="A124" t="s">
        <v>1924</v>
      </c>
      <c r="B124" t="s">
        <v>874</v>
      </c>
      <c r="C124" t="s">
        <v>1029</v>
      </c>
      <c r="D124" s="1">
        <v>46140</v>
      </c>
      <c r="E124" t="s">
        <v>1545</v>
      </c>
      <c r="F124">
        <v>22000</v>
      </c>
    </row>
    <row r="125" spans="1:6" x14ac:dyDescent="0.25">
      <c r="A125" t="s">
        <v>1923</v>
      </c>
      <c r="B125" t="s">
        <v>755</v>
      </c>
      <c r="C125" t="s">
        <v>1065</v>
      </c>
      <c r="D125" s="1">
        <v>46141</v>
      </c>
      <c r="E125" t="s">
        <v>1547</v>
      </c>
      <c r="F125">
        <v>43000</v>
      </c>
    </row>
    <row r="126" spans="1:6" x14ac:dyDescent="0.25">
      <c r="A126" t="s">
        <v>1922</v>
      </c>
      <c r="B126" t="s">
        <v>702</v>
      </c>
      <c r="C126" t="s">
        <v>1055</v>
      </c>
      <c r="D126" s="1">
        <v>46032</v>
      </c>
      <c r="E126" t="s">
        <v>1545</v>
      </c>
      <c r="F126">
        <v>38000</v>
      </c>
    </row>
    <row r="127" spans="1:6" x14ac:dyDescent="0.25">
      <c r="A127" t="s">
        <v>1921</v>
      </c>
      <c r="B127" t="s">
        <v>779</v>
      </c>
      <c r="C127" t="s">
        <v>1065</v>
      </c>
      <c r="D127" s="1">
        <v>46189</v>
      </c>
      <c r="E127" t="s">
        <v>1547</v>
      </c>
      <c r="F127">
        <v>46000</v>
      </c>
    </row>
    <row r="128" spans="1:6" x14ac:dyDescent="0.25">
      <c r="A128" t="s">
        <v>1920</v>
      </c>
      <c r="B128" t="s">
        <v>872</v>
      </c>
      <c r="C128" t="s">
        <v>1025</v>
      </c>
      <c r="D128" s="1">
        <v>46068</v>
      </c>
      <c r="E128" t="s">
        <v>1545</v>
      </c>
      <c r="F128">
        <v>29000</v>
      </c>
    </row>
    <row r="129" spans="1:6" x14ac:dyDescent="0.25">
      <c r="A129" t="s">
        <v>1919</v>
      </c>
      <c r="B129" t="s">
        <v>879</v>
      </c>
      <c r="C129" t="s">
        <v>1034</v>
      </c>
      <c r="D129" s="1">
        <v>46027</v>
      </c>
      <c r="E129" t="s">
        <v>1547</v>
      </c>
      <c r="F129">
        <v>7000</v>
      </c>
    </row>
    <row r="130" spans="1:6" x14ac:dyDescent="0.25">
      <c r="A130" t="s">
        <v>1918</v>
      </c>
      <c r="B130" t="s">
        <v>621</v>
      </c>
      <c r="C130" t="s">
        <v>1032</v>
      </c>
      <c r="D130" s="1">
        <v>46066</v>
      </c>
      <c r="E130" t="s">
        <v>1545</v>
      </c>
      <c r="F130">
        <v>45000</v>
      </c>
    </row>
    <row r="131" spans="1:6" x14ac:dyDescent="0.25">
      <c r="A131" t="s">
        <v>1917</v>
      </c>
      <c r="B131" t="s">
        <v>924</v>
      </c>
      <c r="C131" t="s">
        <v>1038</v>
      </c>
      <c r="D131" s="1">
        <v>46130</v>
      </c>
      <c r="E131" t="s">
        <v>1547</v>
      </c>
      <c r="F131">
        <v>9000</v>
      </c>
    </row>
    <row r="132" spans="1:6" x14ac:dyDescent="0.25">
      <c r="A132" t="s">
        <v>1916</v>
      </c>
      <c r="B132" t="s">
        <v>641</v>
      </c>
      <c r="C132" t="s">
        <v>1041</v>
      </c>
      <c r="D132" s="1">
        <v>46149</v>
      </c>
      <c r="E132" t="s">
        <v>1545</v>
      </c>
      <c r="F132">
        <v>3000</v>
      </c>
    </row>
    <row r="133" spans="1:6" x14ac:dyDescent="0.25">
      <c r="A133" t="s">
        <v>1915</v>
      </c>
      <c r="B133" t="s">
        <v>529</v>
      </c>
      <c r="C133" t="s">
        <v>1065</v>
      </c>
      <c r="D133" s="1">
        <v>46143</v>
      </c>
      <c r="E133" t="s">
        <v>1545</v>
      </c>
      <c r="F133">
        <v>16000</v>
      </c>
    </row>
    <row r="134" spans="1:6" x14ac:dyDescent="0.25">
      <c r="A134" t="s">
        <v>1914</v>
      </c>
      <c r="B134" t="s">
        <v>682</v>
      </c>
      <c r="C134" t="s">
        <v>1032</v>
      </c>
      <c r="D134" s="1">
        <v>46169</v>
      </c>
      <c r="E134" t="s">
        <v>1547</v>
      </c>
      <c r="F134">
        <v>15000</v>
      </c>
    </row>
    <row r="135" spans="1:6" x14ac:dyDescent="0.25">
      <c r="A135" t="s">
        <v>1913</v>
      </c>
      <c r="B135" t="s">
        <v>855</v>
      </c>
      <c r="C135" t="s">
        <v>1041</v>
      </c>
      <c r="D135" s="1">
        <v>46039</v>
      </c>
      <c r="E135" t="s">
        <v>1547</v>
      </c>
      <c r="F135">
        <v>31000</v>
      </c>
    </row>
    <row r="136" spans="1:6" x14ac:dyDescent="0.25">
      <c r="A136" t="s">
        <v>1912</v>
      </c>
      <c r="B136" t="s">
        <v>922</v>
      </c>
      <c r="C136" t="s">
        <v>1055</v>
      </c>
      <c r="D136" s="1">
        <v>46059</v>
      </c>
      <c r="E136" t="s">
        <v>1545</v>
      </c>
      <c r="F136">
        <v>27000</v>
      </c>
    </row>
    <row r="137" spans="1:6" x14ac:dyDescent="0.25">
      <c r="A137" t="s">
        <v>1911</v>
      </c>
      <c r="B137" t="s">
        <v>839</v>
      </c>
      <c r="C137" t="s">
        <v>1065</v>
      </c>
      <c r="D137" s="1">
        <v>46157</v>
      </c>
      <c r="E137" t="s">
        <v>1545</v>
      </c>
      <c r="F137">
        <v>38000</v>
      </c>
    </row>
    <row r="138" spans="1:6" x14ac:dyDescent="0.25">
      <c r="A138" t="s">
        <v>1910</v>
      </c>
      <c r="B138" t="s">
        <v>1007</v>
      </c>
      <c r="C138" t="s">
        <v>1029</v>
      </c>
      <c r="D138" s="1">
        <v>46198</v>
      </c>
      <c r="E138" t="s">
        <v>1547</v>
      </c>
      <c r="F138">
        <v>30000</v>
      </c>
    </row>
    <row r="139" spans="1:6" x14ac:dyDescent="0.25">
      <c r="A139" t="s">
        <v>1909</v>
      </c>
      <c r="B139" t="s">
        <v>753</v>
      </c>
      <c r="C139" t="s">
        <v>1041</v>
      </c>
      <c r="D139" s="1">
        <v>46088</v>
      </c>
      <c r="E139" t="s">
        <v>1545</v>
      </c>
      <c r="F139">
        <v>47000</v>
      </c>
    </row>
    <row r="140" spans="1:6" x14ac:dyDescent="0.25">
      <c r="A140" t="s">
        <v>1908</v>
      </c>
      <c r="B140" t="s">
        <v>646</v>
      </c>
      <c r="C140" t="s">
        <v>1032</v>
      </c>
      <c r="D140" s="1">
        <v>46116</v>
      </c>
      <c r="E140" t="s">
        <v>1545</v>
      </c>
      <c r="F140">
        <v>25000</v>
      </c>
    </row>
    <row r="141" spans="1:6" x14ac:dyDescent="0.25">
      <c r="A141" t="s">
        <v>1907</v>
      </c>
      <c r="B141" t="s">
        <v>962</v>
      </c>
      <c r="C141" t="s">
        <v>1049</v>
      </c>
      <c r="D141" s="1">
        <v>46097</v>
      </c>
      <c r="E141" t="s">
        <v>1547</v>
      </c>
      <c r="F141">
        <v>38000</v>
      </c>
    </row>
    <row r="142" spans="1:6" x14ac:dyDescent="0.25">
      <c r="A142" t="s">
        <v>1906</v>
      </c>
      <c r="B142" t="s">
        <v>834</v>
      </c>
      <c r="C142" t="s">
        <v>1025</v>
      </c>
      <c r="D142" s="1">
        <v>46053</v>
      </c>
      <c r="E142" t="s">
        <v>1545</v>
      </c>
      <c r="F142">
        <v>9000</v>
      </c>
    </row>
    <row r="143" spans="1:6" x14ac:dyDescent="0.25">
      <c r="A143" t="s">
        <v>1905</v>
      </c>
      <c r="B143" t="s">
        <v>680</v>
      </c>
      <c r="C143" t="s">
        <v>1034</v>
      </c>
      <c r="D143" s="1">
        <v>46112</v>
      </c>
      <c r="E143" t="s">
        <v>1545</v>
      </c>
      <c r="F143">
        <v>20000</v>
      </c>
    </row>
    <row r="144" spans="1:6" x14ac:dyDescent="0.25">
      <c r="A144" t="s">
        <v>1904</v>
      </c>
      <c r="B144" t="s">
        <v>610</v>
      </c>
      <c r="C144" t="s">
        <v>1034</v>
      </c>
      <c r="D144" s="1">
        <v>46161</v>
      </c>
      <c r="E144" t="s">
        <v>1547</v>
      </c>
      <c r="F144">
        <v>48000</v>
      </c>
    </row>
    <row r="145" spans="1:6" x14ac:dyDescent="0.25">
      <c r="A145" t="s">
        <v>1903</v>
      </c>
      <c r="B145" t="s">
        <v>640</v>
      </c>
      <c r="C145" t="s">
        <v>1053</v>
      </c>
      <c r="D145" s="1">
        <v>46083</v>
      </c>
      <c r="E145" t="s">
        <v>1545</v>
      </c>
      <c r="F145">
        <v>23000</v>
      </c>
    </row>
    <row r="146" spans="1:6" x14ac:dyDescent="0.25">
      <c r="A146" t="s">
        <v>1902</v>
      </c>
      <c r="B146" t="s">
        <v>796</v>
      </c>
      <c r="C146" t="s">
        <v>1053</v>
      </c>
      <c r="D146" s="1">
        <v>46069</v>
      </c>
      <c r="E146" t="s">
        <v>1545</v>
      </c>
      <c r="F146">
        <v>4000</v>
      </c>
    </row>
    <row r="147" spans="1:6" x14ac:dyDescent="0.25">
      <c r="A147" t="s">
        <v>1901</v>
      </c>
      <c r="B147" t="s">
        <v>885</v>
      </c>
      <c r="C147" t="s">
        <v>1065</v>
      </c>
      <c r="D147" s="1">
        <v>46116</v>
      </c>
      <c r="E147" t="s">
        <v>1547</v>
      </c>
      <c r="F147">
        <v>1000</v>
      </c>
    </row>
    <row r="148" spans="1:6" x14ac:dyDescent="0.25">
      <c r="A148" t="s">
        <v>1900</v>
      </c>
      <c r="B148" t="s">
        <v>910</v>
      </c>
      <c r="C148" t="s">
        <v>1055</v>
      </c>
      <c r="D148" s="1">
        <v>46046</v>
      </c>
      <c r="E148" t="s">
        <v>1545</v>
      </c>
      <c r="F148">
        <v>18000</v>
      </c>
    </row>
    <row r="149" spans="1:6" x14ac:dyDescent="0.25">
      <c r="A149" t="s">
        <v>1899</v>
      </c>
      <c r="B149" t="s">
        <v>547</v>
      </c>
      <c r="C149" t="s">
        <v>1055</v>
      </c>
      <c r="D149" s="1">
        <v>46069</v>
      </c>
      <c r="E149" t="s">
        <v>1547</v>
      </c>
      <c r="F149">
        <v>43000</v>
      </c>
    </row>
    <row r="150" spans="1:6" x14ac:dyDescent="0.25">
      <c r="A150" t="s">
        <v>1898</v>
      </c>
      <c r="B150" t="s">
        <v>724</v>
      </c>
      <c r="C150" t="s">
        <v>1032</v>
      </c>
      <c r="D150" s="1">
        <v>46041</v>
      </c>
      <c r="E150" t="s">
        <v>1547</v>
      </c>
      <c r="F150">
        <v>12000</v>
      </c>
    </row>
    <row r="151" spans="1:6" x14ac:dyDescent="0.25">
      <c r="A151" t="s">
        <v>1897</v>
      </c>
      <c r="B151" t="s">
        <v>526</v>
      </c>
      <c r="C151" t="s">
        <v>1041</v>
      </c>
      <c r="D151" s="1">
        <v>46138</v>
      </c>
      <c r="E151" t="s">
        <v>1545</v>
      </c>
      <c r="F151">
        <v>19000</v>
      </c>
    </row>
    <row r="152" spans="1:6" x14ac:dyDescent="0.25">
      <c r="A152" t="s">
        <v>1896</v>
      </c>
      <c r="B152" t="s">
        <v>1005</v>
      </c>
      <c r="C152" t="s">
        <v>1049</v>
      </c>
      <c r="D152" s="1">
        <v>46073</v>
      </c>
      <c r="E152" t="s">
        <v>1547</v>
      </c>
      <c r="F152">
        <v>26000</v>
      </c>
    </row>
    <row r="153" spans="1:6" x14ac:dyDescent="0.25">
      <c r="A153" t="s">
        <v>1895</v>
      </c>
      <c r="B153" t="s">
        <v>882</v>
      </c>
      <c r="C153" t="s">
        <v>1034</v>
      </c>
      <c r="D153" s="1">
        <v>46198</v>
      </c>
      <c r="E153" t="s">
        <v>1547</v>
      </c>
      <c r="F153">
        <v>50000</v>
      </c>
    </row>
    <row r="154" spans="1:6" x14ac:dyDescent="0.25">
      <c r="A154" t="s">
        <v>1894</v>
      </c>
      <c r="B154" t="s">
        <v>681</v>
      </c>
      <c r="C154" t="s">
        <v>1065</v>
      </c>
      <c r="D154" s="1">
        <v>46178</v>
      </c>
      <c r="E154" t="s">
        <v>1547</v>
      </c>
      <c r="F154">
        <v>13000</v>
      </c>
    </row>
    <row r="155" spans="1:6" x14ac:dyDescent="0.25">
      <c r="A155" t="s">
        <v>1893</v>
      </c>
      <c r="B155" t="s">
        <v>800</v>
      </c>
      <c r="C155" t="s">
        <v>1065</v>
      </c>
      <c r="D155" s="1">
        <v>46083</v>
      </c>
      <c r="E155" t="s">
        <v>1545</v>
      </c>
      <c r="F155">
        <v>41000</v>
      </c>
    </row>
    <row r="156" spans="1:6" x14ac:dyDescent="0.25">
      <c r="A156" t="s">
        <v>1892</v>
      </c>
      <c r="B156" t="s">
        <v>998</v>
      </c>
      <c r="C156" t="s">
        <v>1055</v>
      </c>
      <c r="D156" s="1">
        <v>46140</v>
      </c>
      <c r="E156" t="s">
        <v>1545</v>
      </c>
      <c r="F156">
        <v>10000</v>
      </c>
    </row>
    <row r="157" spans="1:6" x14ac:dyDescent="0.25">
      <c r="A157" t="s">
        <v>1891</v>
      </c>
      <c r="B157" t="s">
        <v>1006</v>
      </c>
      <c r="C157" t="s">
        <v>1032</v>
      </c>
      <c r="D157" s="1">
        <v>46167</v>
      </c>
      <c r="E157" t="s">
        <v>1545</v>
      </c>
      <c r="F157">
        <v>50000</v>
      </c>
    </row>
    <row r="158" spans="1:6" x14ac:dyDescent="0.25">
      <c r="A158" t="s">
        <v>1890</v>
      </c>
      <c r="B158" t="s">
        <v>979</v>
      </c>
      <c r="C158" t="s">
        <v>1055</v>
      </c>
      <c r="D158" s="1">
        <v>46070</v>
      </c>
      <c r="E158" t="s">
        <v>1545</v>
      </c>
      <c r="F158">
        <v>39000</v>
      </c>
    </row>
    <row r="159" spans="1:6" x14ac:dyDescent="0.25">
      <c r="A159" t="s">
        <v>1889</v>
      </c>
      <c r="B159" t="s">
        <v>680</v>
      </c>
      <c r="C159" t="s">
        <v>1032</v>
      </c>
      <c r="D159" s="1">
        <v>46068</v>
      </c>
      <c r="E159" t="s">
        <v>1547</v>
      </c>
      <c r="F159">
        <v>24000</v>
      </c>
    </row>
    <row r="160" spans="1:6" x14ac:dyDescent="0.25">
      <c r="A160" t="s">
        <v>1888</v>
      </c>
      <c r="B160" t="s">
        <v>658</v>
      </c>
      <c r="C160" t="s">
        <v>1065</v>
      </c>
      <c r="D160" s="1">
        <v>46191</v>
      </c>
      <c r="E160" t="s">
        <v>1547</v>
      </c>
      <c r="F160">
        <v>8000</v>
      </c>
    </row>
    <row r="161" spans="1:6" x14ac:dyDescent="0.25">
      <c r="A161" t="s">
        <v>1887</v>
      </c>
      <c r="B161" t="s">
        <v>553</v>
      </c>
      <c r="C161" t="s">
        <v>1032</v>
      </c>
      <c r="D161" s="1">
        <v>46058</v>
      </c>
      <c r="E161" t="s">
        <v>1547</v>
      </c>
      <c r="F161">
        <v>50000</v>
      </c>
    </row>
    <row r="162" spans="1:6" x14ac:dyDescent="0.25">
      <c r="A162" t="s">
        <v>1886</v>
      </c>
      <c r="B162" t="s">
        <v>935</v>
      </c>
      <c r="C162" t="s">
        <v>1025</v>
      </c>
      <c r="D162" s="1">
        <v>46119</v>
      </c>
      <c r="E162" t="s">
        <v>1545</v>
      </c>
      <c r="F162">
        <v>37000</v>
      </c>
    </row>
    <row r="163" spans="1:6" x14ac:dyDescent="0.25">
      <c r="A163" t="s">
        <v>1885</v>
      </c>
      <c r="B163" t="s">
        <v>841</v>
      </c>
      <c r="C163" t="s">
        <v>1038</v>
      </c>
      <c r="D163" s="1">
        <v>46119</v>
      </c>
      <c r="E163" t="s">
        <v>1547</v>
      </c>
      <c r="F163">
        <v>32000</v>
      </c>
    </row>
    <row r="164" spans="1:6" x14ac:dyDescent="0.25">
      <c r="A164" t="s">
        <v>1884</v>
      </c>
      <c r="B164" t="s">
        <v>692</v>
      </c>
      <c r="C164" t="s">
        <v>1055</v>
      </c>
      <c r="D164" s="1">
        <v>46078</v>
      </c>
      <c r="E164" t="s">
        <v>1547</v>
      </c>
      <c r="F164">
        <v>32000</v>
      </c>
    </row>
    <row r="165" spans="1:6" x14ac:dyDescent="0.25">
      <c r="A165" t="s">
        <v>1883</v>
      </c>
      <c r="B165" t="s">
        <v>569</v>
      </c>
      <c r="C165" t="s">
        <v>1049</v>
      </c>
      <c r="D165" s="1">
        <v>46086</v>
      </c>
      <c r="E165" t="s">
        <v>1545</v>
      </c>
      <c r="F165">
        <v>36000</v>
      </c>
    </row>
    <row r="166" spans="1:6" x14ac:dyDescent="0.25">
      <c r="A166" t="s">
        <v>1882</v>
      </c>
      <c r="B166" t="s">
        <v>595</v>
      </c>
      <c r="C166" t="s">
        <v>1034</v>
      </c>
      <c r="D166" s="1">
        <v>46026</v>
      </c>
      <c r="E166" t="s">
        <v>1545</v>
      </c>
      <c r="F166">
        <v>23000</v>
      </c>
    </row>
    <row r="167" spans="1:6" x14ac:dyDescent="0.25">
      <c r="A167" t="s">
        <v>1881</v>
      </c>
      <c r="B167" t="s">
        <v>667</v>
      </c>
      <c r="C167" t="s">
        <v>1055</v>
      </c>
      <c r="D167" s="1">
        <v>46175</v>
      </c>
      <c r="E167" t="s">
        <v>1545</v>
      </c>
      <c r="F167">
        <v>29000</v>
      </c>
    </row>
    <row r="168" spans="1:6" x14ac:dyDescent="0.25">
      <c r="A168" t="s">
        <v>1880</v>
      </c>
      <c r="B168" t="s">
        <v>835</v>
      </c>
      <c r="C168" t="s">
        <v>1041</v>
      </c>
      <c r="D168" s="1">
        <v>46035</v>
      </c>
      <c r="E168" t="s">
        <v>1545</v>
      </c>
      <c r="F168">
        <v>5000</v>
      </c>
    </row>
    <row r="169" spans="1:6" x14ac:dyDescent="0.25">
      <c r="A169" t="s">
        <v>1879</v>
      </c>
      <c r="B169" t="s">
        <v>963</v>
      </c>
      <c r="C169" t="s">
        <v>1041</v>
      </c>
      <c r="D169" s="1">
        <v>46024</v>
      </c>
      <c r="E169" t="s">
        <v>1547</v>
      </c>
      <c r="F169">
        <v>49000</v>
      </c>
    </row>
    <row r="170" spans="1:6" x14ac:dyDescent="0.25">
      <c r="A170" t="s">
        <v>1878</v>
      </c>
      <c r="B170" t="s">
        <v>621</v>
      </c>
      <c r="C170" t="s">
        <v>1065</v>
      </c>
      <c r="D170" s="1">
        <v>46145</v>
      </c>
      <c r="E170" t="s">
        <v>1547</v>
      </c>
      <c r="F170">
        <v>33000</v>
      </c>
    </row>
    <row r="171" spans="1:6" x14ac:dyDescent="0.25">
      <c r="A171" t="s">
        <v>1877</v>
      </c>
      <c r="B171" t="s">
        <v>927</v>
      </c>
      <c r="C171" t="s">
        <v>1038</v>
      </c>
      <c r="D171" s="1">
        <v>46075</v>
      </c>
      <c r="E171" t="s">
        <v>1545</v>
      </c>
      <c r="F171">
        <v>23000</v>
      </c>
    </row>
    <row r="172" spans="1:6" x14ac:dyDescent="0.25">
      <c r="A172" t="s">
        <v>1876</v>
      </c>
      <c r="B172" t="s">
        <v>673</v>
      </c>
      <c r="C172" t="s">
        <v>1029</v>
      </c>
      <c r="D172" s="1">
        <v>46045</v>
      </c>
      <c r="E172" t="s">
        <v>1545</v>
      </c>
      <c r="F172">
        <v>6000</v>
      </c>
    </row>
    <row r="173" spans="1:6" x14ac:dyDescent="0.25">
      <c r="A173" t="s">
        <v>1875</v>
      </c>
      <c r="B173" t="s">
        <v>690</v>
      </c>
      <c r="C173" t="s">
        <v>1053</v>
      </c>
      <c r="D173" s="1">
        <v>46063</v>
      </c>
      <c r="E173" t="s">
        <v>1545</v>
      </c>
      <c r="F173">
        <v>5000</v>
      </c>
    </row>
    <row r="174" spans="1:6" x14ac:dyDescent="0.25">
      <c r="A174" t="s">
        <v>1874</v>
      </c>
      <c r="B174" t="s">
        <v>664</v>
      </c>
      <c r="C174" t="s">
        <v>1053</v>
      </c>
      <c r="D174" s="1">
        <v>46164</v>
      </c>
      <c r="E174" t="s">
        <v>1545</v>
      </c>
      <c r="F174">
        <v>45000</v>
      </c>
    </row>
    <row r="175" spans="1:6" x14ac:dyDescent="0.25">
      <c r="A175" t="s">
        <v>1873</v>
      </c>
      <c r="B175" t="s">
        <v>1006</v>
      </c>
      <c r="C175" t="s">
        <v>1038</v>
      </c>
      <c r="D175" s="1">
        <v>46120</v>
      </c>
      <c r="E175" t="s">
        <v>1547</v>
      </c>
      <c r="F175">
        <v>49000</v>
      </c>
    </row>
    <row r="176" spans="1:6" x14ac:dyDescent="0.25">
      <c r="A176" t="s">
        <v>1872</v>
      </c>
      <c r="B176" t="s">
        <v>731</v>
      </c>
      <c r="C176" t="s">
        <v>1032</v>
      </c>
      <c r="D176" s="1">
        <v>46079</v>
      </c>
      <c r="E176" t="s">
        <v>1547</v>
      </c>
      <c r="F176">
        <v>9000</v>
      </c>
    </row>
    <row r="177" spans="1:6" x14ac:dyDescent="0.25">
      <c r="A177" t="s">
        <v>1871</v>
      </c>
      <c r="B177" t="s">
        <v>905</v>
      </c>
      <c r="C177" t="s">
        <v>1065</v>
      </c>
      <c r="D177" s="1">
        <v>46140</v>
      </c>
      <c r="E177" t="s">
        <v>1547</v>
      </c>
      <c r="F177">
        <v>47000</v>
      </c>
    </row>
    <row r="178" spans="1:6" x14ac:dyDescent="0.25">
      <c r="A178" t="s">
        <v>1870</v>
      </c>
      <c r="B178" t="s">
        <v>891</v>
      </c>
      <c r="C178" t="s">
        <v>1025</v>
      </c>
      <c r="D178" s="1">
        <v>46201</v>
      </c>
      <c r="E178" t="s">
        <v>1545</v>
      </c>
      <c r="F178">
        <v>4000</v>
      </c>
    </row>
    <row r="179" spans="1:6" x14ac:dyDescent="0.25">
      <c r="A179" t="s">
        <v>1869</v>
      </c>
      <c r="B179" t="s">
        <v>818</v>
      </c>
      <c r="C179" t="s">
        <v>1065</v>
      </c>
      <c r="D179" s="1">
        <v>46089</v>
      </c>
      <c r="E179" t="s">
        <v>1545</v>
      </c>
      <c r="F179">
        <v>30000</v>
      </c>
    </row>
    <row r="180" spans="1:6" x14ac:dyDescent="0.25">
      <c r="A180" t="s">
        <v>1868</v>
      </c>
      <c r="B180" t="s">
        <v>1001</v>
      </c>
      <c r="C180" t="s">
        <v>1049</v>
      </c>
      <c r="D180" s="1">
        <v>46182</v>
      </c>
      <c r="E180" t="s">
        <v>1547</v>
      </c>
      <c r="F180">
        <v>43000</v>
      </c>
    </row>
    <row r="181" spans="1:6" x14ac:dyDescent="0.25">
      <c r="A181" t="s">
        <v>1867</v>
      </c>
      <c r="B181" t="s">
        <v>664</v>
      </c>
      <c r="C181" t="s">
        <v>1055</v>
      </c>
      <c r="D181" s="1">
        <v>46045</v>
      </c>
      <c r="E181" t="s">
        <v>1547</v>
      </c>
      <c r="F181">
        <v>25000</v>
      </c>
    </row>
    <row r="182" spans="1:6" x14ac:dyDescent="0.25">
      <c r="A182" t="s">
        <v>1866</v>
      </c>
      <c r="B182" t="s">
        <v>605</v>
      </c>
      <c r="C182" t="s">
        <v>1053</v>
      </c>
      <c r="D182" s="1">
        <v>46174</v>
      </c>
      <c r="E182" t="s">
        <v>1547</v>
      </c>
      <c r="F182">
        <v>26000</v>
      </c>
    </row>
    <row r="183" spans="1:6" x14ac:dyDescent="0.25">
      <c r="A183" t="s">
        <v>1865</v>
      </c>
      <c r="B183" t="s">
        <v>1016</v>
      </c>
      <c r="C183" t="s">
        <v>1053</v>
      </c>
      <c r="D183" s="1">
        <v>46088</v>
      </c>
      <c r="E183" t="s">
        <v>1545</v>
      </c>
      <c r="F183">
        <v>3000</v>
      </c>
    </row>
    <row r="184" spans="1:6" x14ac:dyDescent="0.25">
      <c r="A184" t="s">
        <v>1864</v>
      </c>
      <c r="B184" t="s">
        <v>851</v>
      </c>
      <c r="C184" t="s">
        <v>1041</v>
      </c>
      <c r="D184" s="1">
        <v>46162</v>
      </c>
      <c r="E184" t="s">
        <v>1545</v>
      </c>
      <c r="F184">
        <v>25000</v>
      </c>
    </row>
    <row r="185" spans="1:6" x14ac:dyDescent="0.25">
      <c r="A185" t="s">
        <v>1863</v>
      </c>
      <c r="B185" t="s">
        <v>794</v>
      </c>
      <c r="C185" t="s">
        <v>1041</v>
      </c>
      <c r="D185" s="1">
        <v>46113</v>
      </c>
      <c r="E185" t="s">
        <v>1547</v>
      </c>
      <c r="F185">
        <v>44000</v>
      </c>
    </row>
    <row r="186" spans="1:6" x14ac:dyDescent="0.25">
      <c r="A186" t="s">
        <v>1862</v>
      </c>
      <c r="B186" t="s">
        <v>1018</v>
      </c>
      <c r="C186" t="s">
        <v>1029</v>
      </c>
      <c r="D186" s="1">
        <v>46195</v>
      </c>
      <c r="E186" t="s">
        <v>1547</v>
      </c>
      <c r="F186">
        <v>5000</v>
      </c>
    </row>
    <row r="187" spans="1:6" x14ac:dyDescent="0.25">
      <c r="A187" t="s">
        <v>1861</v>
      </c>
      <c r="B187" t="s">
        <v>865</v>
      </c>
      <c r="C187" t="s">
        <v>1065</v>
      </c>
      <c r="D187" s="1">
        <v>46159</v>
      </c>
      <c r="E187" t="s">
        <v>1547</v>
      </c>
      <c r="F187">
        <v>15000</v>
      </c>
    </row>
    <row r="188" spans="1:6" x14ac:dyDescent="0.25">
      <c r="A188" t="s">
        <v>1860</v>
      </c>
      <c r="B188" t="s">
        <v>989</v>
      </c>
      <c r="C188" t="s">
        <v>1049</v>
      </c>
      <c r="D188" s="1">
        <v>46146</v>
      </c>
      <c r="E188" t="s">
        <v>1547</v>
      </c>
      <c r="F188">
        <v>32000</v>
      </c>
    </row>
    <row r="189" spans="1:6" x14ac:dyDescent="0.25">
      <c r="A189" t="s">
        <v>1859</v>
      </c>
      <c r="B189" t="s">
        <v>830</v>
      </c>
      <c r="C189" t="s">
        <v>1034</v>
      </c>
      <c r="D189" s="1">
        <v>46150</v>
      </c>
      <c r="E189" t="s">
        <v>1545</v>
      </c>
      <c r="F189">
        <v>40000</v>
      </c>
    </row>
    <row r="190" spans="1:6" x14ac:dyDescent="0.25">
      <c r="A190" t="s">
        <v>1858</v>
      </c>
      <c r="B190" t="s">
        <v>614</v>
      </c>
      <c r="C190" t="s">
        <v>1041</v>
      </c>
      <c r="D190" s="1">
        <v>46085</v>
      </c>
      <c r="E190" t="s">
        <v>1547</v>
      </c>
      <c r="F190">
        <v>28000</v>
      </c>
    </row>
    <row r="191" spans="1:6" x14ac:dyDescent="0.25">
      <c r="A191" t="s">
        <v>1857</v>
      </c>
      <c r="B191" t="s">
        <v>527</v>
      </c>
      <c r="C191" t="s">
        <v>1032</v>
      </c>
      <c r="D191" s="1">
        <v>46090</v>
      </c>
      <c r="E191" t="s">
        <v>1547</v>
      </c>
      <c r="F191">
        <v>38000</v>
      </c>
    </row>
    <row r="192" spans="1:6" x14ac:dyDescent="0.25">
      <c r="A192" t="s">
        <v>1856</v>
      </c>
      <c r="B192" t="s">
        <v>637</v>
      </c>
      <c r="C192" t="s">
        <v>1055</v>
      </c>
      <c r="D192" s="1">
        <v>46177</v>
      </c>
      <c r="E192" t="s">
        <v>1547</v>
      </c>
      <c r="F192">
        <v>46000</v>
      </c>
    </row>
    <row r="193" spans="1:6" x14ac:dyDescent="0.25">
      <c r="A193" t="s">
        <v>1855</v>
      </c>
      <c r="B193" t="s">
        <v>572</v>
      </c>
      <c r="C193" t="s">
        <v>1034</v>
      </c>
      <c r="D193" s="1">
        <v>46068</v>
      </c>
      <c r="E193" t="s">
        <v>1547</v>
      </c>
      <c r="F193">
        <v>17000</v>
      </c>
    </row>
    <row r="194" spans="1:6" x14ac:dyDescent="0.25">
      <c r="A194" t="s">
        <v>1854</v>
      </c>
      <c r="B194" t="s">
        <v>528</v>
      </c>
      <c r="C194" t="s">
        <v>1053</v>
      </c>
      <c r="D194" s="1">
        <v>46065</v>
      </c>
      <c r="E194" t="s">
        <v>1547</v>
      </c>
      <c r="F194">
        <v>44000</v>
      </c>
    </row>
    <row r="195" spans="1:6" x14ac:dyDescent="0.25">
      <c r="A195" t="s">
        <v>1853</v>
      </c>
      <c r="B195" t="s">
        <v>819</v>
      </c>
      <c r="C195" t="s">
        <v>1025</v>
      </c>
      <c r="D195" s="1">
        <v>46127</v>
      </c>
      <c r="E195" t="s">
        <v>1547</v>
      </c>
      <c r="F195">
        <v>39000</v>
      </c>
    </row>
    <row r="196" spans="1:6" x14ac:dyDescent="0.25">
      <c r="A196" t="s">
        <v>1852</v>
      </c>
      <c r="B196" t="s">
        <v>778</v>
      </c>
      <c r="C196" t="s">
        <v>1065</v>
      </c>
      <c r="D196" s="1">
        <v>46189</v>
      </c>
      <c r="E196" t="s">
        <v>1547</v>
      </c>
      <c r="F196">
        <v>31000</v>
      </c>
    </row>
    <row r="197" spans="1:6" x14ac:dyDescent="0.25">
      <c r="A197" t="s">
        <v>1851</v>
      </c>
      <c r="B197" t="s">
        <v>822</v>
      </c>
      <c r="C197" t="s">
        <v>1034</v>
      </c>
      <c r="D197" s="1">
        <v>46033</v>
      </c>
      <c r="E197" t="s">
        <v>1547</v>
      </c>
      <c r="F197">
        <v>14000</v>
      </c>
    </row>
    <row r="198" spans="1:6" x14ac:dyDescent="0.25">
      <c r="A198" t="s">
        <v>1850</v>
      </c>
      <c r="B198" t="s">
        <v>569</v>
      </c>
      <c r="C198" t="s">
        <v>1025</v>
      </c>
      <c r="D198" s="1">
        <v>46063</v>
      </c>
      <c r="E198" t="s">
        <v>1545</v>
      </c>
      <c r="F198">
        <v>2000</v>
      </c>
    </row>
    <row r="199" spans="1:6" x14ac:dyDescent="0.25">
      <c r="A199" t="s">
        <v>1849</v>
      </c>
      <c r="B199" t="s">
        <v>961</v>
      </c>
      <c r="C199" t="s">
        <v>1065</v>
      </c>
      <c r="D199" s="1">
        <v>46118</v>
      </c>
      <c r="E199" t="s">
        <v>1545</v>
      </c>
      <c r="F199">
        <v>13000</v>
      </c>
    </row>
    <row r="200" spans="1:6" x14ac:dyDescent="0.25">
      <c r="A200" t="s">
        <v>1848</v>
      </c>
      <c r="B200" t="s">
        <v>908</v>
      </c>
      <c r="C200" t="s">
        <v>1025</v>
      </c>
      <c r="D200" s="1">
        <v>46091</v>
      </c>
      <c r="E200" t="s">
        <v>1545</v>
      </c>
      <c r="F200">
        <v>10000</v>
      </c>
    </row>
    <row r="201" spans="1:6" x14ac:dyDescent="0.25">
      <c r="A201" t="s">
        <v>1847</v>
      </c>
      <c r="B201" t="s">
        <v>672</v>
      </c>
      <c r="C201" t="s">
        <v>1065</v>
      </c>
      <c r="D201" s="1">
        <v>46187</v>
      </c>
      <c r="E201" t="s">
        <v>1547</v>
      </c>
      <c r="F201">
        <v>20000</v>
      </c>
    </row>
    <row r="202" spans="1:6" x14ac:dyDescent="0.25">
      <c r="A202" t="s">
        <v>1846</v>
      </c>
      <c r="B202" t="s">
        <v>954</v>
      </c>
      <c r="C202" t="s">
        <v>1065</v>
      </c>
      <c r="D202" s="1">
        <v>46047</v>
      </c>
      <c r="E202" t="s">
        <v>1545</v>
      </c>
      <c r="F202">
        <v>23000</v>
      </c>
    </row>
    <row r="203" spans="1:6" x14ac:dyDescent="0.25">
      <c r="A203" t="s">
        <v>1845</v>
      </c>
      <c r="B203" t="s">
        <v>884</v>
      </c>
      <c r="C203" t="s">
        <v>1053</v>
      </c>
      <c r="D203" s="1">
        <v>46076</v>
      </c>
      <c r="E203" t="s">
        <v>1547</v>
      </c>
      <c r="F203">
        <v>42000</v>
      </c>
    </row>
    <row r="204" spans="1:6" x14ac:dyDescent="0.25">
      <c r="A204" t="s">
        <v>1844</v>
      </c>
      <c r="B204" t="s">
        <v>987</v>
      </c>
      <c r="C204" t="s">
        <v>1041</v>
      </c>
      <c r="D204" s="1">
        <v>46176</v>
      </c>
      <c r="E204" t="s">
        <v>1545</v>
      </c>
      <c r="F204">
        <v>27000</v>
      </c>
    </row>
    <row r="205" spans="1:6" x14ac:dyDescent="0.25">
      <c r="A205" t="s">
        <v>1843</v>
      </c>
      <c r="B205" t="s">
        <v>579</v>
      </c>
      <c r="C205" t="s">
        <v>1053</v>
      </c>
      <c r="D205" s="1">
        <v>46185</v>
      </c>
      <c r="E205" t="s">
        <v>1547</v>
      </c>
      <c r="F205">
        <v>38000</v>
      </c>
    </row>
    <row r="206" spans="1:6" x14ac:dyDescent="0.25">
      <c r="A206" t="s">
        <v>1842</v>
      </c>
      <c r="B206" t="s">
        <v>954</v>
      </c>
      <c r="C206" t="s">
        <v>1025</v>
      </c>
      <c r="D206" s="1">
        <v>46101</v>
      </c>
      <c r="E206" t="s">
        <v>1545</v>
      </c>
      <c r="F206">
        <v>49000</v>
      </c>
    </row>
    <row r="207" spans="1:6" x14ac:dyDescent="0.25">
      <c r="A207" t="s">
        <v>1841</v>
      </c>
      <c r="B207" t="s">
        <v>693</v>
      </c>
      <c r="C207" t="s">
        <v>1034</v>
      </c>
      <c r="D207" s="1">
        <v>46193</v>
      </c>
      <c r="E207" t="s">
        <v>1547</v>
      </c>
      <c r="F207">
        <v>9000</v>
      </c>
    </row>
    <row r="208" spans="1:6" x14ac:dyDescent="0.25">
      <c r="A208" t="s">
        <v>1840</v>
      </c>
      <c r="B208" t="s">
        <v>583</v>
      </c>
      <c r="C208" t="s">
        <v>1034</v>
      </c>
      <c r="D208" s="1">
        <v>46177</v>
      </c>
      <c r="E208" t="s">
        <v>1545</v>
      </c>
      <c r="F208">
        <v>20000</v>
      </c>
    </row>
    <row r="209" spans="1:6" x14ac:dyDescent="0.25">
      <c r="A209" t="s">
        <v>1839</v>
      </c>
      <c r="B209" t="s">
        <v>747</v>
      </c>
      <c r="C209" t="s">
        <v>1055</v>
      </c>
      <c r="D209" s="1">
        <v>46179</v>
      </c>
      <c r="E209" t="s">
        <v>1545</v>
      </c>
      <c r="F209">
        <v>21000</v>
      </c>
    </row>
    <row r="210" spans="1:6" x14ac:dyDescent="0.25">
      <c r="A210" t="s">
        <v>1838</v>
      </c>
      <c r="B210" t="s">
        <v>721</v>
      </c>
      <c r="C210" t="s">
        <v>1065</v>
      </c>
      <c r="D210" s="1">
        <v>46081</v>
      </c>
      <c r="E210" t="s">
        <v>1547</v>
      </c>
      <c r="F210">
        <v>20000</v>
      </c>
    </row>
    <row r="211" spans="1:6" x14ac:dyDescent="0.25">
      <c r="A211" t="s">
        <v>1837</v>
      </c>
      <c r="B211" t="s">
        <v>718</v>
      </c>
      <c r="C211" t="s">
        <v>1041</v>
      </c>
      <c r="D211" s="1">
        <v>46126</v>
      </c>
      <c r="E211" t="s">
        <v>1545</v>
      </c>
      <c r="F211">
        <v>8000</v>
      </c>
    </row>
    <row r="212" spans="1:6" x14ac:dyDescent="0.25">
      <c r="A212" t="s">
        <v>1836</v>
      </c>
      <c r="B212" t="s">
        <v>752</v>
      </c>
      <c r="C212" t="s">
        <v>1041</v>
      </c>
      <c r="D212" s="1">
        <v>46129</v>
      </c>
      <c r="E212" t="s">
        <v>1545</v>
      </c>
      <c r="F212">
        <v>35000</v>
      </c>
    </row>
    <row r="213" spans="1:6" x14ac:dyDescent="0.25">
      <c r="A213" t="s">
        <v>1835</v>
      </c>
      <c r="B213" t="s">
        <v>634</v>
      </c>
      <c r="C213" t="s">
        <v>1041</v>
      </c>
      <c r="D213" s="1">
        <v>46108</v>
      </c>
      <c r="E213" t="s">
        <v>1547</v>
      </c>
      <c r="F213">
        <v>6000</v>
      </c>
    </row>
    <row r="214" spans="1:6" x14ac:dyDescent="0.25">
      <c r="A214" t="s">
        <v>1834</v>
      </c>
      <c r="B214" t="s">
        <v>781</v>
      </c>
      <c r="C214" t="s">
        <v>1025</v>
      </c>
      <c r="D214" s="1">
        <v>46104</v>
      </c>
      <c r="E214" t="s">
        <v>1547</v>
      </c>
      <c r="F214">
        <v>32000</v>
      </c>
    </row>
    <row r="215" spans="1:6" x14ac:dyDescent="0.25">
      <c r="A215" t="s">
        <v>1833</v>
      </c>
      <c r="B215" t="s">
        <v>772</v>
      </c>
      <c r="C215" t="s">
        <v>1065</v>
      </c>
      <c r="D215" s="1">
        <v>46148</v>
      </c>
      <c r="E215" t="s">
        <v>1545</v>
      </c>
      <c r="F215">
        <v>20000</v>
      </c>
    </row>
    <row r="216" spans="1:6" x14ac:dyDescent="0.25">
      <c r="A216" t="s">
        <v>1832</v>
      </c>
      <c r="B216" t="s">
        <v>570</v>
      </c>
      <c r="C216" t="s">
        <v>1055</v>
      </c>
      <c r="D216" s="1">
        <v>46191</v>
      </c>
      <c r="E216" t="s">
        <v>1545</v>
      </c>
      <c r="F216">
        <v>42000</v>
      </c>
    </row>
    <row r="217" spans="1:6" x14ac:dyDescent="0.25">
      <c r="A217" t="s">
        <v>1831</v>
      </c>
      <c r="B217" t="s">
        <v>607</v>
      </c>
      <c r="C217" t="s">
        <v>1053</v>
      </c>
      <c r="D217" s="1">
        <v>46159</v>
      </c>
      <c r="E217" t="s">
        <v>1545</v>
      </c>
      <c r="F217">
        <v>14000</v>
      </c>
    </row>
    <row r="218" spans="1:6" x14ac:dyDescent="0.25">
      <c r="A218" t="s">
        <v>1830</v>
      </c>
      <c r="B218" t="s">
        <v>540</v>
      </c>
      <c r="C218" t="s">
        <v>1032</v>
      </c>
      <c r="D218" s="1">
        <v>46090</v>
      </c>
      <c r="E218" t="s">
        <v>1547</v>
      </c>
      <c r="F218">
        <v>4000</v>
      </c>
    </row>
    <row r="219" spans="1:6" x14ac:dyDescent="0.25">
      <c r="A219" t="s">
        <v>1829</v>
      </c>
      <c r="B219" t="s">
        <v>609</v>
      </c>
      <c r="C219" t="s">
        <v>1032</v>
      </c>
      <c r="D219" s="1">
        <v>46027</v>
      </c>
      <c r="E219" t="s">
        <v>1545</v>
      </c>
      <c r="F219">
        <v>42000</v>
      </c>
    </row>
    <row r="220" spans="1:6" x14ac:dyDescent="0.25">
      <c r="A220" t="s">
        <v>1828</v>
      </c>
      <c r="B220" t="s">
        <v>1014</v>
      </c>
      <c r="C220" t="s">
        <v>1049</v>
      </c>
      <c r="D220" s="1">
        <v>46188</v>
      </c>
      <c r="E220" t="s">
        <v>1545</v>
      </c>
      <c r="F220">
        <v>6000</v>
      </c>
    </row>
    <row r="221" spans="1:6" x14ac:dyDescent="0.25">
      <c r="A221" t="s">
        <v>1827</v>
      </c>
      <c r="B221" t="s">
        <v>600</v>
      </c>
      <c r="C221" t="s">
        <v>1038</v>
      </c>
      <c r="D221" s="1">
        <v>46095</v>
      </c>
      <c r="E221" t="s">
        <v>1547</v>
      </c>
      <c r="F221">
        <v>9000</v>
      </c>
    </row>
    <row r="222" spans="1:6" x14ac:dyDescent="0.25">
      <c r="A222" t="s">
        <v>1826</v>
      </c>
      <c r="B222" t="s">
        <v>772</v>
      </c>
      <c r="C222" t="s">
        <v>1055</v>
      </c>
      <c r="D222" s="1">
        <v>46191</v>
      </c>
      <c r="E222" t="s">
        <v>1547</v>
      </c>
      <c r="F222">
        <v>45000</v>
      </c>
    </row>
    <row r="223" spans="1:6" x14ac:dyDescent="0.25">
      <c r="A223" t="s">
        <v>1825</v>
      </c>
      <c r="B223" t="s">
        <v>715</v>
      </c>
      <c r="C223" t="s">
        <v>1029</v>
      </c>
      <c r="D223" s="1">
        <v>46143</v>
      </c>
      <c r="E223" t="s">
        <v>1545</v>
      </c>
      <c r="F223">
        <v>36000</v>
      </c>
    </row>
    <row r="224" spans="1:6" x14ac:dyDescent="0.25">
      <c r="A224" t="s">
        <v>1824</v>
      </c>
      <c r="B224" t="s">
        <v>747</v>
      </c>
      <c r="C224" t="s">
        <v>1032</v>
      </c>
      <c r="D224" s="1">
        <v>46168</v>
      </c>
      <c r="E224" t="s">
        <v>1547</v>
      </c>
      <c r="F224">
        <v>32000</v>
      </c>
    </row>
    <row r="225" spans="1:6" x14ac:dyDescent="0.25">
      <c r="A225" t="s">
        <v>1823</v>
      </c>
      <c r="B225" t="s">
        <v>613</v>
      </c>
      <c r="C225" t="s">
        <v>1049</v>
      </c>
      <c r="D225" s="1">
        <v>46048</v>
      </c>
      <c r="E225" t="s">
        <v>1547</v>
      </c>
      <c r="F225">
        <v>14000</v>
      </c>
    </row>
    <row r="226" spans="1:6" x14ac:dyDescent="0.25">
      <c r="A226" t="s">
        <v>1822</v>
      </c>
      <c r="B226" t="s">
        <v>947</v>
      </c>
      <c r="C226" t="s">
        <v>1055</v>
      </c>
      <c r="D226" s="1">
        <v>46037</v>
      </c>
      <c r="E226" t="s">
        <v>1545</v>
      </c>
      <c r="F226">
        <v>43000</v>
      </c>
    </row>
    <row r="227" spans="1:6" x14ac:dyDescent="0.25">
      <c r="A227" t="s">
        <v>1821</v>
      </c>
      <c r="B227" t="s">
        <v>834</v>
      </c>
      <c r="C227" t="s">
        <v>1032</v>
      </c>
      <c r="D227" s="1">
        <v>46067</v>
      </c>
      <c r="E227" t="s">
        <v>1547</v>
      </c>
      <c r="F227">
        <v>50000</v>
      </c>
    </row>
    <row r="228" spans="1:6" x14ac:dyDescent="0.25">
      <c r="A228" t="s">
        <v>1820</v>
      </c>
      <c r="B228" t="s">
        <v>899</v>
      </c>
      <c r="C228" t="s">
        <v>1053</v>
      </c>
      <c r="D228" s="1">
        <v>46064</v>
      </c>
      <c r="E228" t="s">
        <v>1545</v>
      </c>
      <c r="F228">
        <v>8000</v>
      </c>
    </row>
    <row r="229" spans="1:6" x14ac:dyDescent="0.25">
      <c r="A229" t="s">
        <v>1819</v>
      </c>
      <c r="B229" t="s">
        <v>751</v>
      </c>
      <c r="C229" t="s">
        <v>1041</v>
      </c>
      <c r="D229" s="1">
        <v>46172</v>
      </c>
      <c r="E229" t="s">
        <v>1545</v>
      </c>
      <c r="F229">
        <v>2000</v>
      </c>
    </row>
    <row r="230" spans="1:6" x14ac:dyDescent="0.25">
      <c r="A230" t="s">
        <v>1818</v>
      </c>
      <c r="B230" t="s">
        <v>1015</v>
      </c>
      <c r="C230" t="s">
        <v>1029</v>
      </c>
      <c r="D230" s="1">
        <v>46089</v>
      </c>
      <c r="E230" t="s">
        <v>1545</v>
      </c>
      <c r="F230">
        <v>36000</v>
      </c>
    </row>
    <row r="231" spans="1:6" x14ac:dyDescent="0.25">
      <c r="A231" t="s">
        <v>1817</v>
      </c>
      <c r="B231" t="s">
        <v>559</v>
      </c>
      <c r="C231" t="s">
        <v>1034</v>
      </c>
      <c r="D231" s="1">
        <v>46078</v>
      </c>
      <c r="E231" t="s">
        <v>1545</v>
      </c>
      <c r="F231">
        <v>17000</v>
      </c>
    </row>
    <row r="232" spans="1:6" x14ac:dyDescent="0.25">
      <c r="A232" t="s">
        <v>1816</v>
      </c>
      <c r="B232" t="s">
        <v>653</v>
      </c>
      <c r="C232" t="s">
        <v>1055</v>
      </c>
      <c r="D232" s="1">
        <v>46160</v>
      </c>
      <c r="E232" t="s">
        <v>1547</v>
      </c>
      <c r="F232">
        <v>48000</v>
      </c>
    </row>
    <row r="233" spans="1:6" x14ac:dyDescent="0.25">
      <c r="A233" t="s">
        <v>1815</v>
      </c>
      <c r="B233" t="s">
        <v>795</v>
      </c>
      <c r="C233" t="s">
        <v>1055</v>
      </c>
      <c r="D233" s="1">
        <v>46133</v>
      </c>
      <c r="E233" t="s">
        <v>1547</v>
      </c>
      <c r="F233">
        <v>31000</v>
      </c>
    </row>
    <row r="234" spans="1:6" x14ac:dyDescent="0.25">
      <c r="A234" t="s">
        <v>1814</v>
      </c>
      <c r="B234" t="s">
        <v>979</v>
      </c>
      <c r="C234" t="s">
        <v>1034</v>
      </c>
      <c r="D234" s="1">
        <v>46117</v>
      </c>
      <c r="E234" t="s">
        <v>1545</v>
      </c>
      <c r="F234">
        <v>28000</v>
      </c>
    </row>
    <row r="235" spans="1:6" x14ac:dyDescent="0.25">
      <c r="A235" t="s">
        <v>1813</v>
      </c>
      <c r="B235" t="s">
        <v>907</v>
      </c>
      <c r="C235" t="s">
        <v>1049</v>
      </c>
      <c r="D235" s="1">
        <v>46102</v>
      </c>
      <c r="E235" t="s">
        <v>1545</v>
      </c>
      <c r="F235">
        <v>17000</v>
      </c>
    </row>
    <row r="236" spans="1:6" x14ac:dyDescent="0.25">
      <c r="A236" t="s">
        <v>1812</v>
      </c>
      <c r="B236" t="s">
        <v>755</v>
      </c>
      <c r="C236" t="s">
        <v>1065</v>
      </c>
      <c r="D236" s="1">
        <v>46025</v>
      </c>
      <c r="E236" t="s">
        <v>1547</v>
      </c>
      <c r="F236">
        <v>10000</v>
      </c>
    </row>
    <row r="237" spans="1:6" x14ac:dyDescent="0.25">
      <c r="A237" t="s">
        <v>1811</v>
      </c>
      <c r="B237" t="s">
        <v>816</v>
      </c>
      <c r="C237" t="s">
        <v>1025</v>
      </c>
      <c r="D237" s="1">
        <v>46030</v>
      </c>
      <c r="E237" t="s">
        <v>1547</v>
      </c>
      <c r="F237">
        <v>38000</v>
      </c>
    </row>
    <row r="238" spans="1:6" x14ac:dyDescent="0.25">
      <c r="A238" t="s">
        <v>1810</v>
      </c>
      <c r="B238" t="s">
        <v>633</v>
      </c>
      <c r="C238" t="s">
        <v>1034</v>
      </c>
      <c r="D238" s="1">
        <v>46196</v>
      </c>
      <c r="E238" t="s">
        <v>1547</v>
      </c>
      <c r="F238">
        <v>31000</v>
      </c>
    </row>
    <row r="239" spans="1:6" x14ac:dyDescent="0.25">
      <c r="A239" t="s">
        <v>1809</v>
      </c>
      <c r="B239" t="s">
        <v>818</v>
      </c>
      <c r="C239" t="s">
        <v>1053</v>
      </c>
      <c r="D239" s="1">
        <v>46200</v>
      </c>
      <c r="E239" t="s">
        <v>1547</v>
      </c>
      <c r="F239">
        <v>23000</v>
      </c>
    </row>
    <row r="240" spans="1:6" x14ac:dyDescent="0.25">
      <c r="A240" t="s">
        <v>1808</v>
      </c>
      <c r="B240" t="s">
        <v>1000</v>
      </c>
      <c r="C240" t="s">
        <v>1065</v>
      </c>
      <c r="D240" s="1">
        <v>46103</v>
      </c>
      <c r="E240" t="s">
        <v>1545</v>
      </c>
      <c r="F240">
        <v>36000</v>
      </c>
    </row>
    <row r="241" spans="1:6" x14ac:dyDescent="0.25">
      <c r="A241" t="s">
        <v>1807</v>
      </c>
      <c r="B241" t="s">
        <v>950</v>
      </c>
      <c r="C241" t="s">
        <v>1032</v>
      </c>
      <c r="D241" s="1">
        <v>46165</v>
      </c>
      <c r="E241" t="s">
        <v>1545</v>
      </c>
      <c r="F241">
        <v>33000</v>
      </c>
    </row>
    <row r="242" spans="1:6" x14ac:dyDescent="0.25">
      <c r="A242" t="s">
        <v>1806</v>
      </c>
      <c r="B242" t="s">
        <v>979</v>
      </c>
      <c r="C242" t="s">
        <v>1034</v>
      </c>
      <c r="D242" s="1">
        <v>46109</v>
      </c>
      <c r="E242" t="s">
        <v>1545</v>
      </c>
      <c r="F242">
        <v>35000</v>
      </c>
    </row>
    <row r="243" spans="1:6" x14ac:dyDescent="0.25">
      <c r="A243" t="s">
        <v>1805</v>
      </c>
      <c r="B243" t="s">
        <v>778</v>
      </c>
      <c r="C243" t="s">
        <v>1034</v>
      </c>
      <c r="D243" s="1">
        <v>46102</v>
      </c>
      <c r="E243" t="s">
        <v>1545</v>
      </c>
      <c r="F243">
        <v>24000</v>
      </c>
    </row>
    <row r="244" spans="1:6" x14ac:dyDescent="0.25">
      <c r="A244" t="s">
        <v>1804</v>
      </c>
      <c r="B244" t="s">
        <v>583</v>
      </c>
      <c r="C244" t="s">
        <v>1029</v>
      </c>
      <c r="D244" s="1">
        <v>46094</v>
      </c>
      <c r="E244" t="s">
        <v>1545</v>
      </c>
      <c r="F244">
        <v>17000</v>
      </c>
    </row>
    <row r="245" spans="1:6" x14ac:dyDescent="0.25">
      <c r="A245" t="s">
        <v>1803</v>
      </c>
      <c r="B245" t="s">
        <v>968</v>
      </c>
      <c r="C245" t="s">
        <v>1029</v>
      </c>
      <c r="D245" s="1">
        <v>46169</v>
      </c>
      <c r="E245" t="s">
        <v>1547</v>
      </c>
      <c r="F245">
        <v>31000</v>
      </c>
    </row>
    <row r="246" spans="1:6" x14ac:dyDescent="0.25">
      <c r="A246" t="s">
        <v>1802</v>
      </c>
      <c r="B246" t="s">
        <v>889</v>
      </c>
      <c r="C246" t="s">
        <v>1065</v>
      </c>
      <c r="D246" s="1">
        <v>46054</v>
      </c>
      <c r="E246" t="s">
        <v>1547</v>
      </c>
      <c r="F246">
        <v>5000</v>
      </c>
    </row>
    <row r="247" spans="1:6" x14ac:dyDescent="0.25">
      <c r="A247" t="s">
        <v>1801</v>
      </c>
      <c r="B247" t="s">
        <v>918</v>
      </c>
      <c r="C247" t="s">
        <v>1049</v>
      </c>
      <c r="D247" s="1">
        <v>46134</v>
      </c>
      <c r="E247" t="s">
        <v>1547</v>
      </c>
      <c r="F247">
        <v>29000</v>
      </c>
    </row>
    <row r="248" spans="1:6" x14ac:dyDescent="0.25">
      <c r="A248" t="s">
        <v>1800</v>
      </c>
      <c r="B248" t="s">
        <v>769</v>
      </c>
      <c r="C248" t="s">
        <v>1038</v>
      </c>
      <c r="D248" s="1">
        <v>46185</v>
      </c>
      <c r="E248" t="s">
        <v>1545</v>
      </c>
      <c r="F248">
        <v>1000</v>
      </c>
    </row>
    <row r="249" spans="1:6" x14ac:dyDescent="0.25">
      <c r="A249" t="s">
        <v>1799</v>
      </c>
      <c r="B249" t="s">
        <v>882</v>
      </c>
      <c r="C249" t="s">
        <v>1032</v>
      </c>
      <c r="D249" s="1">
        <v>46040</v>
      </c>
      <c r="E249" t="s">
        <v>1547</v>
      </c>
      <c r="F249">
        <v>34000</v>
      </c>
    </row>
    <row r="250" spans="1:6" x14ac:dyDescent="0.25">
      <c r="A250" t="s">
        <v>1798</v>
      </c>
      <c r="B250" t="s">
        <v>929</v>
      </c>
      <c r="C250" t="s">
        <v>1038</v>
      </c>
      <c r="D250" s="1">
        <v>46194</v>
      </c>
      <c r="E250" t="s">
        <v>1547</v>
      </c>
      <c r="F250">
        <v>13000</v>
      </c>
    </row>
    <row r="251" spans="1:6" x14ac:dyDescent="0.25">
      <c r="A251" t="s">
        <v>1797</v>
      </c>
      <c r="B251" t="s">
        <v>912</v>
      </c>
      <c r="C251" t="s">
        <v>1055</v>
      </c>
      <c r="D251" s="1">
        <v>46141</v>
      </c>
      <c r="E251" t="s">
        <v>1545</v>
      </c>
      <c r="F251">
        <v>15000</v>
      </c>
    </row>
    <row r="252" spans="1:6" x14ac:dyDescent="0.25">
      <c r="A252" t="s">
        <v>1796</v>
      </c>
      <c r="B252" t="s">
        <v>841</v>
      </c>
      <c r="C252" t="s">
        <v>1065</v>
      </c>
      <c r="D252" s="1">
        <v>46038</v>
      </c>
      <c r="E252" t="s">
        <v>1547</v>
      </c>
      <c r="F252">
        <v>16000</v>
      </c>
    </row>
    <row r="253" spans="1:6" x14ac:dyDescent="0.25">
      <c r="A253" t="s">
        <v>1795</v>
      </c>
      <c r="B253" t="s">
        <v>749</v>
      </c>
      <c r="C253" t="s">
        <v>1034</v>
      </c>
      <c r="D253" s="1">
        <v>46058</v>
      </c>
      <c r="E253" t="s">
        <v>1545</v>
      </c>
      <c r="F253">
        <v>32000</v>
      </c>
    </row>
    <row r="254" spans="1:6" x14ac:dyDescent="0.25">
      <c r="A254" t="s">
        <v>1794</v>
      </c>
      <c r="B254" t="s">
        <v>539</v>
      </c>
      <c r="C254" t="s">
        <v>1032</v>
      </c>
      <c r="D254" s="1">
        <v>46058</v>
      </c>
      <c r="E254" t="s">
        <v>1547</v>
      </c>
      <c r="F254">
        <v>5000</v>
      </c>
    </row>
    <row r="255" spans="1:6" x14ac:dyDescent="0.25">
      <c r="A255" t="s">
        <v>1793</v>
      </c>
      <c r="B255" t="s">
        <v>635</v>
      </c>
      <c r="C255" t="s">
        <v>1049</v>
      </c>
      <c r="D255" s="1">
        <v>46112</v>
      </c>
      <c r="E255" t="s">
        <v>1545</v>
      </c>
      <c r="F255">
        <v>2000</v>
      </c>
    </row>
    <row r="256" spans="1:6" x14ac:dyDescent="0.25">
      <c r="A256" t="s">
        <v>1792</v>
      </c>
      <c r="B256" t="s">
        <v>860</v>
      </c>
      <c r="C256" t="s">
        <v>1034</v>
      </c>
      <c r="D256" s="1">
        <v>46146</v>
      </c>
      <c r="E256" t="s">
        <v>1547</v>
      </c>
      <c r="F256">
        <v>39000</v>
      </c>
    </row>
    <row r="257" spans="1:6" x14ac:dyDescent="0.25">
      <c r="A257" t="s">
        <v>1791</v>
      </c>
      <c r="B257" t="s">
        <v>535</v>
      </c>
      <c r="C257" t="s">
        <v>1034</v>
      </c>
      <c r="D257" s="1">
        <v>46032</v>
      </c>
      <c r="E257" t="s">
        <v>1547</v>
      </c>
      <c r="F257">
        <v>49000</v>
      </c>
    </row>
    <row r="258" spans="1:6" x14ac:dyDescent="0.25">
      <c r="A258" t="s">
        <v>1790</v>
      </c>
      <c r="B258" t="s">
        <v>1018</v>
      </c>
      <c r="C258" t="s">
        <v>1038</v>
      </c>
      <c r="D258" s="1">
        <v>46110</v>
      </c>
      <c r="E258" t="s">
        <v>1547</v>
      </c>
      <c r="F258">
        <v>13000</v>
      </c>
    </row>
    <row r="259" spans="1:6" x14ac:dyDescent="0.25">
      <c r="A259" t="s">
        <v>1789</v>
      </c>
      <c r="B259" t="s">
        <v>881</v>
      </c>
      <c r="C259" t="s">
        <v>1055</v>
      </c>
      <c r="D259" s="1">
        <v>46186</v>
      </c>
      <c r="E259" t="s">
        <v>1547</v>
      </c>
      <c r="F259">
        <v>2000</v>
      </c>
    </row>
    <row r="260" spans="1:6" x14ac:dyDescent="0.25">
      <c r="A260" t="s">
        <v>1788</v>
      </c>
      <c r="B260" t="s">
        <v>765</v>
      </c>
      <c r="C260" t="s">
        <v>1038</v>
      </c>
      <c r="D260" s="1">
        <v>46155</v>
      </c>
      <c r="E260" t="s">
        <v>1545</v>
      </c>
      <c r="F260">
        <v>5000</v>
      </c>
    </row>
    <row r="261" spans="1:6" x14ac:dyDescent="0.25">
      <c r="A261" t="s">
        <v>1787</v>
      </c>
      <c r="B261" t="s">
        <v>525</v>
      </c>
      <c r="C261" t="s">
        <v>1065</v>
      </c>
      <c r="D261" s="1">
        <v>46073</v>
      </c>
      <c r="E261" t="s">
        <v>1545</v>
      </c>
      <c r="F261">
        <v>13000</v>
      </c>
    </row>
    <row r="262" spans="1:6" x14ac:dyDescent="0.25">
      <c r="A262" t="s">
        <v>1786</v>
      </c>
      <c r="B262" t="s">
        <v>842</v>
      </c>
      <c r="C262" t="s">
        <v>1041</v>
      </c>
      <c r="D262" s="1">
        <v>46195</v>
      </c>
      <c r="E262" t="s">
        <v>1545</v>
      </c>
      <c r="F262">
        <v>6000</v>
      </c>
    </row>
    <row r="263" spans="1:6" x14ac:dyDescent="0.25">
      <c r="A263" t="s">
        <v>1785</v>
      </c>
      <c r="B263" t="s">
        <v>698</v>
      </c>
      <c r="C263" t="s">
        <v>1065</v>
      </c>
      <c r="D263" s="1">
        <v>46118</v>
      </c>
      <c r="E263" t="s">
        <v>1547</v>
      </c>
      <c r="F263">
        <v>42000</v>
      </c>
    </row>
    <row r="264" spans="1:6" x14ac:dyDescent="0.25">
      <c r="A264" t="s">
        <v>1784</v>
      </c>
      <c r="B264" t="s">
        <v>584</v>
      </c>
      <c r="C264" t="s">
        <v>1049</v>
      </c>
      <c r="D264" s="1">
        <v>46074</v>
      </c>
      <c r="E264" t="s">
        <v>1547</v>
      </c>
      <c r="F264">
        <v>34000</v>
      </c>
    </row>
    <row r="265" spans="1:6" x14ac:dyDescent="0.25">
      <c r="A265" t="s">
        <v>1783</v>
      </c>
      <c r="B265" t="s">
        <v>913</v>
      </c>
      <c r="C265" t="s">
        <v>1053</v>
      </c>
      <c r="D265" s="1">
        <v>46084</v>
      </c>
      <c r="E265" t="s">
        <v>1545</v>
      </c>
      <c r="F265">
        <v>22000</v>
      </c>
    </row>
    <row r="266" spans="1:6" x14ac:dyDescent="0.25">
      <c r="A266" t="s">
        <v>1782</v>
      </c>
      <c r="B266" t="s">
        <v>999</v>
      </c>
      <c r="C266" t="s">
        <v>1041</v>
      </c>
      <c r="D266" s="1">
        <v>46129</v>
      </c>
      <c r="E266" t="s">
        <v>1545</v>
      </c>
      <c r="F266">
        <v>31000</v>
      </c>
    </row>
    <row r="267" spans="1:6" x14ac:dyDescent="0.25">
      <c r="A267" t="s">
        <v>1781</v>
      </c>
      <c r="B267" t="s">
        <v>568</v>
      </c>
      <c r="C267" t="s">
        <v>1038</v>
      </c>
      <c r="D267" s="1">
        <v>46153</v>
      </c>
      <c r="E267" t="s">
        <v>1545</v>
      </c>
      <c r="F267">
        <v>50000</v>
      </c>
    </row>
    <row r="268" spans="1:6" x14ac:dyDescent="0.25">
      <c r="A268" t="s">
        <v>1780</v>
      </c>
      <c r="B268" t="s">
        <v>729</v>
      </c>
      <c r="C268" t="s">
        <v>1055</v>
      </c>
      <c r="D268" s="1">
        <v>46186</v>
      </c>
      <c r="E268" t="s">
        <v>1545</v>
      </c>
      <c r="F268">
        <v>43000</v>
      </c>
    </row>
    <row r="269" spans="1:6" x14ac:dyDescent="0.25">
      <c r="A269" t="s">
        <v>1779</v>
      </c>
      <c r="B269" t="s">
        <v>748</v>
      </c>
      <c r="C269" t="s">
        <v>1055</v>
      </c>
      <c r="D269" s="1">
        <v>46131</v>
      </c>
      <c r="E269" t="s">
        <v>1545</v>
      </c>
      <c r="F269">
        <v>37000</v>
      </c>
    </row>
    <row r="270" spans="1:6" x14ac:dyDescent="0.25">
      <c r="A270" t="s">
        <v>1778</v>
      </c>
      <c r="B270" t="s">
        <v>758</v>
      </c>
      <c r="C270" t="s">
        <v>1055</v>
      </c>
      <c r="D270" s="1">
        <v>46126</v>
      </c>
      <c r="E270" t="s">
        <v>1547</v>
      </c>
      <c r="F270">
        <v>1000</v>
      </c>
    </row>
    <row r="271" spans="1:6" x14ac:dyDescent="0.25">
      <c r="A271" t="s">
        <v>1777</v>
      </c>
      <c r="B271" t="s">
        <v>631</v>
      </c>
      <c r="C271" t="s">
        <v>1053</v>
      </c>
      <c r="D271" s="1">
        <v>46069</v>
      </c>
      <c r="E271" t="s">
        <v>1547</v>
      </c>
      <c r="F271">
        <v>18000</v>
      </c>
    </row>
    <row r="272" spans="1:6" x14ac:dyDescent="0.25">
      <c r="A272" t="s">
        <v>1776</v>
      </c>
      <c r="B272" t="s">
        <v>705</v>
      </c>
      <c r="C272" t="s">
        <v>1038</v>
      </c>
      <c r="D272" s="1">
        <v>46073</v>
      </c>
      <c r="E272" t="s">
        <v>1547</v>
      </c>
      <c r="F272">
        <v>35000</v>
      </c>
    </row>
    <row r="273" spans="1:6" x14ac:dyDescent="0.25">
      <c r="A273" t="s">
        <v>1775</v>
      </c>
      <c r="B273" t="s">
        <v>692</v>
      </c>
      <c r="C273" t="s">
        <v>1055</v>
      </c>
      <c r="D273" s="1">
        <v>46109</v>
      </c>
      <c r="E273" t="s">
        <v>1545</v>
      </c>
      <c r="F273">
        <v>29000</v>
      </c>
    </row>
    <row r="274" spans="1:6" x14ac:dyDescent="0.25">
      <c r="A274" t="s">
        <v>1774</v>
      </c>
      <c r="B274" t="s">
        <v>1020</v>
      </c>
      <c r="C274" t="s">
        <v>1055</v>
      </c>
      <c r="D274" s="1">
        <v>46039</v>
      </c>
      <c r="E274" t="s">
        <v>1547</v>
      </c>
      <c r="F274">
        <v>3000</v>
      </c>
    </row>
    <row r="275" spans="1:6" x14ac:dyDescent="0.25">
      <c r="A275" t="s">
        <v>1773</v>
      </c>
      <c r="B275" t="s">
        <v>974</v>
      </c>
      <c r="C275" t="s">
        <v>1041</v>
      </c>
      <c r="D275" s="1">
        <v>46085</v>
      </c>
      <c r="E275" t="s">
        <v>1545</v>
      </c>
      <c r="F275">
        <v>37000</v>
      </c>
    </row>
    <row r="276" spans="1:6" x14ac:dyDescent="0.25">
      <c r="A276" t="s">
        <v>1772</v>
      </c>
      <c r="B276" t="s">
        <v>988</v>
      </c>
      <c r="C276" t="s">
        <v>1025</v>
      </c>
      <c r="D276" s="1">
        <v>46182</v>
      </c>
      <c r="E276" t="s">
        <v>1547</v>
      </c>
      <c r="F276">
        <v>13000</v>
      </c>
    </row>
    <row r="277" spans="1:6" x14ac:dyDescent="0.25">
      <c r="A277" t="s">
        <v>1771</v>
      </c>
      <c r="B277" t="s">
        <v>1022</v>
      </c>
      <c r="C277" t="s">
        <v>1041</v>
      </c>
      <c r="D277" s="1">
        <v>46088</v>
      </c>
      <c r="E277" t="s">
        <v>1547</v>
      </c>
      <c r="F277">
        <v>34000</v>
      </c>
    </row>
    <row r="278" spans="1:6" x14ac:dyDescent="0.25">
      <c r="A278" t="s">
        <v>1770</v>
      </c>
      <c r="B278" t="s">
        <v>776</v>
      </c>
      <c r="C278" t="s">
        <v>1055</v>
      </c>
      <c r="D278" s="1">
        <v>46060</v>
      </c>
      <c r="E278" t="s">
        <v>1547</v>
      </c>
      <c r="F278">
        <v>40000</v>
      </c>
    </row>
    <row r="279" spans="1:6" x14ac:dyDescent="0.25">
      <c r="A279" t="s">
        <v>1769</v>
      </c>
      <c r="B279" t="s">
        <v>694</v>
      </c>
      <c r="C279" t="s">
        <v>1065</v>
      </c>
      <c r="D279" s="1">
        <v>46137</v>
      </c>
      <c r="E279" t="s">
        <v>1547</v>
      </c>
      <c r="F279">
        <v>15000</v>
      </c>
    </row>
    <row r="280" spans="1:6" x14ac:dyDescent="0.25">
      <c r="A280" t="s">
        <v>1768</v>
      </c>
      <c r="B280" t="s">
        <v>610</v>
      </c>
      <c r="C280" t="s">
        <v>1053</v>
      </c>
      <c r="D280" s="1">
        <v>46194</v>
      </c>
      <c r="E280" t="s">
        <v>1547</v>
      </c>
      <c r="F280">
        <v>25000</v>
      </c>
    </row>
    <row r="281" spans="1:6" x14ac:dyDescent="0.25">
      <c r="A281" t="s">
        <v>1767</v>
      </c>
      <c r="B281" t="s">
        <v>884</v>
      </c>
      <c r="C281" t="s">
        <v>1065</v>
      </c>
      <c r="D281" s="1">
        <v>46184</v>
      </c>
      <c r="E281" t="s">
        <v>1547</v>
      </c>
      <c r="F281">
        <v>11000</v>
      </c>
    </row>
    <row r="282" spans="1:6" x14ac:dyDescent="0.25">
      <c r="A282" t="s">
        <v>1766</v>
      </c>
      <c r="B282" t="s">
        <v>741</v>
      </c>
      <c r="C282" t="s">
        <v>1049</v>
      </c>
      <c r="D282" s="1">
        <v>46090</v>
      </c>
      <c r="E282" t="s">
        <v>1545</v>
      </c>
      <c r="F282">
        <v>18000</v>
      </c>
    </row>
    <row r="283" spans="1:6" x14ac:dyDescent="0.25">
      <c r="A283" t="s">
        <v>1765</v>
      </c>
      <c r="B283" t="s">
        <v>868</v>
      </c>
      <c r="C283" t="s">
        <v>1025</v>
      </c>
      <c r="D283" s="1">
        <v>46078</v>
      </c>
      <c r="E283" t="s">
        <v>1545</v>
      </c>
      <c r="F283">
        <v>35000</v>
      </c>
    </row>
    <row r="284" spans="1:6" x14ac:dyDescent="0.25">
      <c r="A284" t="s">
        <v>1764</v>
      </c>
      <c r="B284" t="s">
        <v>977</v>
      </c>
      <c r="C284" t="s">
        <v>1065</v>
      </c>
      <c r="D284" s="1">
        <v>46091</v>
      </c>
      <c r="E284" t="s">
        <v>1547</v>
      </c>
      <c r="F284">
        <v>49000</v>
      </c>
    </row>
    <row r="285" spans="1:6" x14ac:dyDescent="0.25">
      <c r="A285" t="s">
        <v>1763</v>
      </c>
      <c r="B285" t="s">
        <v>778</v>
      </c>
      <c r="C285" t="s">
        <v>1034</v>
      </c>
      <c r="D285" s="1">
        <v>46134</v>
      </c>
      <c r="E285" t="s">
        <v>1547</v>
      </c>
      <c r="F285">
        <v>47000</v>
      </c>
    </row>
    <row r="286" spans="1:6" x14ac:dyDescent="0.25">
      <c r="A286" t="s">
        <v>1762</v>
      </c>
      <c r="B286" t="s">
        <v>674</v>
      </c>
      <c r="C286" t="s">
        <v>1038</v>
      </c>
      <c r="D286" s="1">
        <v>46056</v>
      </c>
      <c r="E286" t="s">
        <v>1545</v>
      </c>
      <c r="F286">
        <v>7000</v>
      </c>
    </row>
    <row r="287" spans="1:6" x14ac:dyDescent="0.25">
      <c r="A287" t="s">
        <v>1761</v>
      </c>
      <c r="B287" t="s">
        <v>651</v>
      </c>
      <c r="C287" t="s">
        <v>1025</v>
      </c>
      <c r="D287" s="1">
        <v>46123</v>
      </c>
      <c r="E287" t="s">
        <v>1545</v>
      </c>
      <c r="F287">
        <v>16000</v>
      </c>
    </row>
    <row r="288" spans="1:6" x14ac:dyDescent="0.25">
      <c r="A288" t="s">
        <v>1760</v>
      </c>
      <c r="B288" t="s">
        <v>684</v>
      </c>
      <c r="C288" t="s">
        <v>1038</v>
      </c>
      <c r="D288" s="1">
        <v>46120</v>
      </c>
      <c r="E288" t="s">
        <v>1547</v>
      </c>
      <c r="F288">
        <v>37000</v>
      </c>
    </row>
    <row r="289" spans="1:6" x14ac:dyDescent="0.25">
      <c r="A289" t="s">
        <v>1759</v>
      </c>
      <c r="B289" t="s">
        <v>927</v>
      </c>
      <c r="C289" t="s">
        <v>1065</v>
      </c>
      <c r="D289" s="1">
        <v>46187</v>
      </c>
      <c r="E289" t="s">
        <v>1545</v>
      </c>
      <c r="F289">
        <v>2000</v>
      </c>
    </row>
    <row r="290" spans="1:6" x14ac:dyDescent="0.25">
      <c r="A290" t="s">
        <v>1758</v>
      </c>
      <c r="B290" t="s">
        <v>546</v>
      </c>
      <c r="C290" t="s">
        <v>1041</v>
      </c>
      <c r="D290" s="1">
        <v>46039</v>
      </c>
      <c r="E290" t="s">
        <v>1547</v>
      </c>
      <c r="F290">
        <v>47000</v>
      </c>
    </row>
    <row r="291" spans="1:6" x14ac:dyDescent="0.25">
      <c r="A291" t="s">
        <v>1757</v>
      </c>
      <c r="B291" t="s">
        <v>587</v>
      </c>
      <c r="C291" t="s">
        <v>1065</v>
      </c>
      <c r="D291" s="1">
        <v>46110</v>
      </c>
      <c r="E291" t="s">
        <v>1547</v>
      </c>
      <c r="F291">
        <v>8000</v>
      </c>
    </row>
    <row r="292" spans="1:6" x14ac:dyDescent="0.25">
      <c r="A292" t="s">
        <v>1756</v>
      </c>
      <c r="B292" t="s">
        <v>929</v>
      </c>
      <c r="C292" t="s">
        <v>1032</v>
      </c>
      <c r="D292" s="1">
        <v>46113</v>
      </c>
      <c r="E292" t="s">
        <v>1545</v>
      </c>
      <c r="F292">
        <v>12000</v>
      </c>
    </row>
    <row r="293" spans="1:6" x14ac:dyDescent="0.25">
      <c r="A293" t="s">
        <v>1755</v>
      </c>
      <c r="B293" t="s">
        <v>857</v>
      </c>
      <c r="C293" t="s">
        <v>1055</v>
      </c>
      <c r="D293" s="1">
        <v>46179</v>
      </c>
      <c r="E293" t="s">
        <v>1547</v>
      </c>
      <c r="F293">
        <v>32000</v>
      </c>
    </row>
    <row r="294" spans="1:6" x14ac:dyDescent="0.25">
      <c r="A294" t="s">
        <v>1754</v>
      </c>
      <c r="B294" t="s">
        <v>991</v>
      </c>
      <c r="C294" t="s">
        <v>1049</v>
      </c>
      <c r="D294" s="1">
        <v>46094</v>
      </c>
      <c r="E294" t="s">
        <v>1547</v>
      </c>
      <c r="F294">
        <v>2000</v>
      </c>
    </row>
    <row r="295" spans="1:6" x14ac:dyDescent="0.25">
      <c r="A295" t="s">
        <v>1753</v>
      </c>
      <c r="B295" t="s">
        <v>681</v>
      </c>
      <c r="C295" t="s">
        <v>1041</v>
      </c>
      <c r="D295" s="1">
        <v>46055</v>
      </c>
      <c r="E295" t="s">
        <v>1547</v>
      </c>
      <c r="F295">
        <v>3000</v>
      </c>
    </row>
    <row r="296" spans="1:6" x14ac:dyDescent="0.25">
      <c r="A296" t="s">
        <v>1752</v>
      </c>
      <c r="B296" t="s">
        <v>939</v>
      </c>
      <c r="C296" t="s">
        <v>1025</v>
      </c>
      <c r="D296" s="1">
        <v>46048</v>
      </c>
      <c r="E296" t="s">
        <v>1545</v>
      </c>
      <c r="F296">
        <v>25000</v>
      </c>
    </row>
    <row r="297" spans="1:6" x14ac:dyDescent="0.25">
      <c r="A297" t="s">
        <v>1751</v>
      </c>
      <c r="B297" t="s">
        <v>988</v>
      </c>
      <c r="C297" t="s">
        <v>1049</v>
      </c>
      <c r="D297" s="1">
        <v>46031</v>
      </c>
      <c r="E297" t="s">
        <v>1545</v>
      </c>
      <c r="F297">
        <v>14000</v>
      </c>
    </row>
    <row r="298" spans="1:6" x14ac:dyDescent="0.25">
      <c r="A298" t="s">
        <v>1750</v>
      </c>
      <c r="B298" t="s">
        <v>660</v>
      </c>
      <c r="C298" t="s">
        <v>1038</v>
      </c>
      <c r="D298" s="1">
        <v>46181</v>
      </c>
      <c r="E298" t="s">
        <v>1547</v>
      </c>
      <c r="F298">
        <v>32000</v>
      </c>
    </row>
    <row r="299" spans="1:6" x14ac:dyDescent="0.25">
      <c r="A299" t="s">
        <v>1749</v>
      </c>
      <c r="B299" t="s">
        <v>739</v>
      </c>
      <c r="C299" t="s">
        <v>1038</v>
      </c>
      <c r="D299" s="1">
        <v>46036</v>
      </c>
      <c r="E299" t="s">
        <v>1545</v>
      </c>
      <c r="F299">
        <v>32000</v>
      </c>
    </row>
    <row r="300" spans="1:6" x14ac:dyDescent="0.25">
      <c r="A300" t="s">
        <v>1748</v>
      </c>
      <c r="B300" t="s">
        <v>832</v>
      </c>
      <c r="C300" t="s">
        <v>1041</v>
      </c>
      <c r="D300" s="1">
        <v>46089</v>
      </c>
      <c r="E300" t="s">
        <v>1545</v>
      </c>
      <c r="F300">
        <v>33000</v>
      </c>
    </row>
    <row r="301" spans="1:6" x14ac:dyDescent="0.25">
      <c r="A301" t="s">
        <v>1747</v>
      </c>
      <c r="B301" t="s">
        <v>734</v>
      </c>
      <c r="C301" t="s">
        <v>1049</v>
      </c>
      <c r="D301" s="1">
        <v>46173</v>
      </c>
      <c r="E301" t="s">
        <v>1545</v>
      </c>
      <c r="F301">
        <v>36000</v>
      </c>
    </row>
    <row r="302" spans="1:6" x14ac:dyDescent="0.25">
      <c r="A302" t="s">
        <v>1746</v>
      </c>
      <c r="B302" t="s">
        <v>591</v>
      </c>
      <c r="C302" t="s">
        <v>1034</v>
      </c>
      <c r="D302" s="1">
        <v>46098</v>
      </c>
      <c r="E302" t="s">
        <v>1545</v>
      </c>
      <c r="F302">
        <v>18000</v>
      </c>
    </row>
    <row r="303" spans="1:6" x14ac:dyDescent="0.25">
      <c r="A303" t="s">
        <v>1745</v>
      </c>
      <c r="B303" t="s">
        <v>792</v>
      </c>
      <c r="C303" t="s">
        <v>1041</v>
      </c>
      <c r="D303" s="1">
        <v>46117</v>
      </c>
      <c r="E303" t="s">
        <v>1545</v>
      </c>
      <c r="F303">
        <v>35000</v>
      </c>
    </row>
    <row r="304" spans="1:6" x14ac:dyDescent="0.25">
      <c r="A304" t="s">
        <v>1744</v>
      </c>
      <c r="B304" t="s">
        <v>777</v>
      </c>
      <c r="C304" t="s">
        <v>1038</v>
      </c>
      <c r="D304" s="1">
        <v>46151</v>
      </c>
      <c r="E304" t="s">
        <v>1545</v>
      </c>
      <c r="F304">
        <v>9000</v>
      </c>
    </row>
    <row r="305" spans="1:6" x14ac:dyDescent="0.25">
      <c r="A305" t="s">
        <v>1743</v>
      </c>
      <c r="B305" t="s">
        <v>781</v>
      </c>
      <c r="C305" t="s">
        <v>1041</v>
      </c>
      <c r="D305" s="1">
        <v>46134</v>
      </c>
      <c r="E305" t="s">
        <v>1545</v>
      </c>
      <c r="F305">
        <v>17000</v>
      </c>
    </row>
    <row r="306" spans="1:6" x14ac:dyDescent="0.25">
      <c r="A306" t="s">
        <v>1742</v>
      </c>
      <c r="B306" t="s">
        <v>864</v>
      </c>
      <c r="C306" t="s">
        <v>1041</v>
      </c>
      <c r="D306" s="1">
        <v>46074</v>
      </c>
      <c r="E306" t="s">
        <v>1547</v>
      </c>
      <c r="F306">
        <v>30000</v>
      </c>
    </row>
    <row r="307" spans="1:6" x14ac:dyDescent="0.25">
      <c r="A307" t="s">
        <v>1741</v>
      </c>
      <c r="B307" t="s">
        <v>766</v>
      </c>
      <c r="C307" t="s">
        <v>1065</v>
      </c>
      <c r="D307" s="1">
        <v>46174</v>
      </c>
      <c r="E307" t="s">
        <v>1545</v>
      </c>
      <c r="F307">
        <v>30000</v>
      </c>
    </row>
    <row r="308" spans="1:6" x14ac:dyDescent="0.25">
      <c r="A308" t="s">
        <v>1740</v>
      </c>
      <c r="B308" t="s">
        <v>922</v>
      </c>
      <c r="C308" t="s">
        <v>1049</v>
      </c>
      <c r="D308" s="1">
        <v>46040</v>
      </c>
      <c r="E308" t="s">
        <v>1547</v>
      </c>
      <c r="F308">
        <v>3000</v>
      </c>
    </row>
    <row r="309" spans="1:6" x14ac:dyDescent="0.25">
      <c r="A309" t="s">
        <v>1739</v>
      </c>
      <c r="B309" t="s">
        <v>849</v>
      </c>
      <c r="C309" t="s">
        <v>1032</v>
      </c>
      <c r="D309" s="1">
        <v>46112</v>
      </c>
      <c r="E309" t="s">
        <v>1547</v>
      </c>
      <c r="F309">
        <v>19000</v>
      </c>
    </row>
    <row r="310" spans="1:6" x14ac:dyDescent="0.25">
      <c r="A310" t="s">
        <v>1738</v>
      </c>
      <c r="B310" t="s">
        <v>541</v>
      </c>
      <c r="C310" t="s">
        <v>1032</v>
      </c>
      <c r="D310" s="1">
        <v>46150</v>
      </c>
      <c r="E310" t="s">
        <v>1547</v>
      </c>
      <c r="F310">
        <v>23000</v>
      </c>
    </row>
    <row r="311" spans="1:6" x14ac:dyDescent="0.25">
      <c r="A311" t="s">
        <v>1737</v>
      </c>
      <c r="B311" t="s">
        <v>831</v>
      </c>
      <c r="C311" t="s">
        <v>1038</v>
      </c>
      <c r="D311" s="1">
        <v>46053</v>
      </c>
      <c r="E311" t="s">
        <v>1545</v>
      </c>
      <c r="F311">
        <v>38000</v>
      </c>
    </row>
    <row r="312" spans="1:6" x14ac:dyDescent="0.25">
      <c r="A312" t="s">
        <v>1736</v>
      </c>
      <c r="B312" t="s">
        <v>582</v>
      </c>
      <c r="C312" t="s">
        <v>1038</v>
      </c>
      <c r="D312" s="1">
        <v>46060</v>
      </c>
      <c r="E312" t="s">
        <v>1547</v>
      </c>
      <c r="F312">
        <v>45000</v>
      </c>
    </row>
    <row r="313" spans="1:6" x14ac:dyDescent="0.25">
      <c r="A313" t="s">
        <v>1735</v>
      </c>
      <c r="B313" t="s">
        <v>667</v>
      </c>
      <c r="C313" t="s">
        <v>1053</v>
      </c>
      <c r="D313" s="1">
        <v>46057</v>
      </c>
      <c r="E313" t="s">
        <v>1547</v>
      </c>
      <c r="F313">
        <v>11000</v>
      </c>
    </row>
    <row r="314" spans="1:6" x14ac:dyDescent="0.25">
      <c r="A314" t="s">
        <v>1734</v>
      </c>
      <c r="B314" t="s">
        <v>1000</v>
      </c>
      <c r="C314" t="s">
        <v>1053</v>
      </c>
      <c r="D314" s="1">
        <v>46116</v>
      </c>
      <c r="E314" t="s">
        <v>1547</v>
      </c>
      <c r="F314">
        <v>42000</v>
      </c>
    </row>
    <row r="315" spans="1:6" x14ac:dyDescent="0.25">
      <c r="A315" t="s">
        <v>1733</v>
      </c>
      <c r="B315" t="s">
        <v>931</v>
      </c>
      <c r="C315" t="s">
        <v>1055</v>
      </c>
      <c r="D315" s="1">
        <v>46124</v>
      </c>
      <c r="E315" t="s">
        <v>1545</v>
      </c>
      <c r="F315">
        <v>6000</v>
      </c>
    </row>
    <row r="316" spans="1:6" x14ac:dyDescent="0.25">
      <c r="A316" t="s">
        <v>1732</v>
      </c>
      <c r="B316" t="s">
        <v>553</v>
      </c>
      <c r="C316" t="s">
        <v>1053</v>
      </c>
      <c r="D316" s="1">
        <v>46150</v>
      </c>
      <c r="E316" t="s">
        <v>1545</v>
      </c>
      <c r="F316">
        <v>34000</v>
      </c>
    </row>
    <row r="317" spans="1:6" x14ac:dyDescent="0.25">
      <c r="A317" t="s">
        <v>1731</v>
      </c>
      <c r="B317" t="s">
        <v>726</v>
      </c>
      <c r="C317" t="s">
        <v>1049</v>
      </c>
      <c r="D317" s="1">
        <v>46150</v>
      </c>
      <c r="E317" t="s">
        <v>1547</v>
      </c>
      <c r="F317">
        <v>50000</v>
      </c>
    </row>
    <row r="318" spans="1:6" x14ac:dyDescent="0.25">
      <c r="A318" t="s">
        <v>1730</v>
      </c>
      <c r="B318" t="s">
        <v>703</v>
      </c>
      <c r="C318" t="s">
        <v>1041</v>
      </c>
      <c r="D318" s="1">
        <v>46048</v>
      </c>
      <c r="E318" t="s">
        <v>1545</v>
      </c>
      <c r="F318">
        <v>40000</v>
      </c>
    </row>
    <row r="319" spans="1:6" x14ac:dyDescent="0.25">
      <c r="A319" t="s">
        <v>1729</v>
      </c>
      <c r="B319" t="s">
        <v>1016</v>
      </c>
      <c r="C319" t="s">
        <v>1041</v>
      </c>
      <c r="D319" s="1">
        <v>46086</v>
      </c>
      <c r="E319" t="s">
        <v>1547</v>
      </c>
      <c r="F319">
        <v>6000</v>
      </c>
    </row>
    <row r="320" spans="1:6" x14ac:dyDescent="0.25">
      <c r="A320" t="s">
        <v>1728</v>
      </c>
      <c r="B320" t="s">
        <v>844</v>
      </c>
      <c r="C320" t="s">
        <v>1032</v>
      </c>
      <c r="D320" s="1">
        <v>46029</v>
      </c>
      <c r="E320" t="s">
        <v>1545</v>
      </c>
      <c r="F320">
        <v>29000</v>
      </c>
    </row>
    <row r="321" spans="1:6" x14ac:dyDescent="0.25">
      <c r="A321" t="s">
        <v>1727</v>
      </c>
      <c r="B321" t="s">
        <v>528</v>
      </c>
      <c r="C321" t="s">
        <v>1041</v>
      </c>
      <c r="D321" s="1">
        <v>46134</v>
      </c>
      <c r="E321" t="s">
        <v>1547</v>
      </c>
      <c r="F321">
        <v>38000</v>
      </c>
    </row>
    <row r="322" spans="1:6" x14ac:dyDescent="0.25">
      <c r="A322" t="s">
        <v>1726</v>
      </c>
      <c r="B322" t="s">
        <v>882</v>
      </c>
      <c r="C322" t="s">
        <v>1025</v>
      </c>
      <c r="D322" s="1">
        <v>46171</v>
      </c>
      <c r="E322" t="s">
        <v>1545</v>
      </c>
      <c r="F322">
        <v>15000</v>
      </c>
    </row>
    <row r="323" spans="1:6" x14ac:dyDescent="0.25">
      <c r="A323" t="s">
        <v>1725</v>
      </c>
      <c r="B323" t="s">
        <v>829</v>
      </c>
      <c r="C323" t="s">
        <v>1065</v>
      </c>
      <c r="D323" s="1">
        <v>46048</v>
      </c>
      <c r="E323" t="s">
        <v>1547</v>
      </c>
      <c r="F323">
        <v>42000</v>
      </c>
    </row>
    <row r="324" spans="1:6" x14ac:dyDescent="0.25">
      <c r="A324" t="s">
        <v>1724</v>
      </c>
      <c r="B324" t="s">
        <v>803</v>
      </c>
      <c r="C324" t="s">
        <v>1032</v>
      </c>
      <c r="D324" s="1">
        <v>46177</v>
      </c>
      <c r="E324" t="s">
        <v>1545</v>
      </c>
      <c r="F324">
        <v>28000</v>
      </c>
    </row>
    <row r="325" spans="1:6" x14ac:dyDescent="0.25">
      <c r="A325" t="s">
        <v>1723</v>
      </c>
      <c r="B325" t="s">
        <v>570</v>
      </c>
      <c r="C325" t="s">
        <v>1041</v>
      </c>
      <c r="D325" s="1">
        <v>46048</v>
      </c>
      <c r="E325" t="s">
        <v>1547</v>
      </c>
      <c r="F325">
        <v>38000</v>
      </c>
    </row>
    <row r="326" spans="1:6" x14ac:dyDescent="0.25">
      <c r="A326" t="s">
        <v>1722</v>
      </c>
      <c r="B326" t="s">
        <v>620</v>
      </c>
      <c r="C326" t="s">
        <v>1041</v>
      </c>
      <c r="D326" s="1">
        <v>46127</v>
      </c>
      <c r="E326" t="s">
        <v>1545</v>
      </c>
      <c r="F326">
        <v>36000</v>
      </c>
    </row>
    <row r="327" spans="1:6" x14ac:dyDescent="0.25">
      <c r="A327" t="s">
        <v>1721</v>
      </c>
      <c r="B327" t="s">
        <v>842</v>
      </c>
      <c r="C327" t="s">
        <v>1065</v>
      </c>
      <c r="D327" s="1">
        <v>46177</v>
      </c>
      <c r="E327" t="s">
        <v>1545</v>
      </c>
      <c r="F327">
        <v>35000</v>
      </c>
    </row>
    <row r="328" spans="1:6" x14ac:dyDescent="0.25">
      <c r="A328" t="s">
        <v>1720</v>
      </c>
      <c r="B328" t="s">
        <v>829</v>
      </c>
      <c r="C328" t="s">
        <v>1065</v>
      </c>
      <c r="D328" s="1">
        <v>46131</v>
      </c>
      <c r="E328" t="s">
        <v>1545</v>
      </c>
      <c r="F328">
        <v>8000</v>
      </c>
    </row>
    <row r="329" spans="1:6" x14ac:dyDescent="0.25">
      <c r="A329" t="s">
        <v>1719</v>
      </c>
      <c r="B329" t="s">
        <v>852</v>
      </c>
      <c r="C329" t="s">
        <v>1025</v>
      </c>
      <c r="D329" s="1">
        <v>46029</v>
      </c>
      <c r="E329" t="s">
        <v>1545</v>
      </c>
      <c r="F329">
        <v>9000</v>
      </c>
    </row>
    <row r="330" spans="1:6" x14ac:dyDescent="0.25">
      <c r="A330" t="s">
        <v>1718</v>
      </c>
      <c r="B330" t="s">
        <v>799</v>
      </c>
      <c r="C330" t="s">
        <v>1065</v>
      </c>
      <c r="D330" s="1">
        <v>46177</v>
      </c>
      <c r="E330" t="s">
        <v>1545</v>
      </c>
      <c r="F330">
        <v>13000</v>
      </c>
    </row>
    <row r="331" spans="1:6" x14ac:dyDescent="0.25">
      <c r="A331" t="s">
        <v>1717</v>
      </c>
      <c r="B331" t="s">
        <v>747</v>
      </c>
      <c r="C331" t="s">
        <v>1053</v>
      </c>
      <c r="D331" s="1">
        <v>46035</v>
      </c>
      <c r="E331" t="s">
        <v>1547</v>
      </c>
      <c r="F331">
        <v>4000</v>
      </c>
    </row>
    <row r="332" spans="1:6" x14ac:dyDescent="0.25">
      <c r="A332" t="s">
        <v>1716</v>
      </c>
      <c r="B332" t="s">
        <v>764</v>
      </c>
      <c r="C332" t="s">
        <v>1034</v>
      </c>
      <c r="D332" s="1">
        <v>46162</v>
      </c>
      <c r="E332" t="s">
        <v>1547</v>
      </c>
      <c r="F332">
        <v>25000</v>
      </c>
    </row>
    <row r="333" spans="1:6" x14ac:dyDescent="0.25">
      <c r="A333" t="s">
        <v>1715</v>
      </c>
      <c r="B333" t="s">
        <v>551</v>
      </c>
      <c r="C333" t="s">
        <v>1034</v>
      </c>
      <c r="D333" s="1">
        <v>46146</v>
      </c>
      <c r="E333" t="s">
        <v>1547</v>
      </c>
      <c r="F333">
        <v>23000</v>
      </c>
    </row>
    <row r="334" spans="1:6" x14ac:dyDescent="0.25">
      <c r="A334" t="s">
        <v>1714</v>
      </c>
      <c r="B334" t="s">
        <v>566</v>
      </c>
      <c r="C334" t="s">
        <v>1055</v>
      </c>
      <c r="D334" s="1">
        <v>46184</v>
      </c>
      <c r="E334" t="s">
        <v>1545</v>
      </c>
      <c r="F334">
        <v>31000</v>
      </c>
    </row>
    <row r="335" spans="1:6" x14ac:dyDescent="0.25">
      <c r="A335" t="s">
        <v>1713</v>
      </c>
      <c r="B335" t="s">
        <v>730</v>
      </c>
      <c r="C335" t="s">
        <v>1032</v>
      </c>
      <c r="D335" s="1">
        <v>46153</v>
      </c>
      <c r="E335" t="s">
        <v>1547</v>
      </c>
      <c r="F335">
        <v>4000</v>
      </c>
    </row>
    <row r="336" spans="1:6" x14ac:dyDescent="0.25">
      <c r="A336" t="s">
        <v>1712</v>
      </c>
      <c r="B336" t="s">
        <v>801</v>
      </c>
      <c r="C336" t="s">
        <v>1032</v>
      </c>
      <c r="D336" s="1">
        <v>46170</v>
      </c>
      <c r="E336" t="s">
        <v>1545</v>
      </c>
      <c r="F336">
        <v>6000</v>
      </c>
    </row>
    <row r="337" spans="1:6" x14ac:dyDescent="0.25">
      <c r="A337" t="s">
        <v>1711</v>
      </c>
      <c r="B337" t="s">
        <v>817</v>
      </c>
      <c r="C337" t="s">
        <v>1049</v>
      </c>
      <c r="D337" s="1">
        <v>46185</v>
      </c>
      <c r="E337" t="s">
        <v>1547</v>
      </c>
      <c r="F337">
        <v>21000</v>
      </c>
    </row>
    <row r="338" spans="1:6" x14ac:dyDescent="0.25">
      <c r="A338" t="s">
        <v>1710</v>
      </c>
      <c r="B338" t="s">
        <v>858</v>
      </c>
      <c r="C338" t="s">
        <v>1029</v>
      </c>
      <c r="D338" s="1">
        <v>46191</v>
      </c>
      <c r="E338" t="s">
        <v>1547</v>
      </c>
      <c r="F338">
        <v>50000</v>
      </c>
    </row>
    <row r="339" spans="1:6" x14ac:dyDescent="0.25">
      <c r="A339" t="s">
        <v>1709</v>
      </c>
      <c r="B339" t="s">
        <v>902</v>
      </c>
      <c r="C339" t="s">
        <v>1032</v>
      </c>
      <c r="D339" s="1">
        <v>46147</v>
      </c>
      <c r="E339" t="s">
        <v>1547</v>
      </c>
      <c r="F339">
        <v>10000</v>
      </c>
    </row>
    <row r="340" spans="1:6" x14ac:dyDescent="0.25">
      <c r="A340" t="s">
        <v>1708</v>
      </c>
      <c r="B340" t="s">
        <v>719</v>
      </c>
      <c r="C340" t="s">
        <v>1065</v>
      </c>
      <c r="D340" s="1">
        <v>46098</v>
      </c>
      <c r="E340" t="s">
        <v>1547</v>
      </c>
      <c r="F340">
        <v>43000</v>
      </c>
    </row>
    <row r="341" spans="1:6" x14ac:dyDescent="0.25">
      <c r="A341" t="s">
        <v>1707</v>
      </c>
      <c r="B341" t="s">
        <v>747</v>
      </c>
      <c r="C341" t="s">
        <v>1038</v>
      </c>
      <c r="D341" s="1">
        <v>46135</v>
      </c>
      <c r="E341" t="s">
        <v>1547</v>
      </c>
      <c r="F341">
        <v>8000</v>
      </c>
    </row>
    <row r="342" spans="1:6" x14ac:dyDescent="0.25">
      <c r="A342" t="s">
        <v>1706</v>
      </c>
      <c r="B342" t="s">
        <v>681</v>
      </c>
      <c r="C342" t="s">
        <v>1055</v>
      </c>
      <c r="D342" s="1">
        <v>46093</v>
      </c>
      <c r="E342" t="s">
        <v>1547</v>
      </c>
      <c r="F342">
        <v>41000</v>
      </c>
    </row>
    <row r="343" spans="1:6" x14ac:dyDescent="0.25">
      <c r="A343" t="s">
        <v>1705</v>
      </c>
      <c r="B343" t="s">
        <v>961</v>
      </c>
      <c r="C343" t="s">
        <v>1055</v>
      </c>
      <c r="D343" s="1">
        <v>46171</v>
      </c>
      <c r="E343" t="s">
        <v>1547</v>
      </c>
      <c r="F343">
        <v>34000</v>
      </c>
    </row>
    <row r="344" spans="1:6" x14ac:dyDescent="0.25">
      <c r="A344" t="s">
        <v>1704</v>
      </c>
      <c r="B344" t="s">
        <v>980</v>
      </c>
      <c r="C344" t="s">
        <v>1032</v>
      </c>
      <c r="D344" s="1">
        <v>46185</v>
      </c>
      <c r="E344" t="s">
        <v>1545</v>
      </c>
      <c r="F344">
        <v>28000</v>
      </c>
    </row>
    <row r="345" spans="1:6" x14ac:dyDescent="0.25">
      <c r="A345" t="s">
        <v>1703</v>
      </c>
      <c r="B345" t="s">
        <v>719</v>
      </c>
      <c r="C345" t="s">
        <v>1032</v>
      </c>
      <c r="D345" s="1">
        <v>46090</v>
      </c>
      <c r="E345" t="s">
        <v>1547</v>
      </c>
      <c r="F345">
        <v>49000</v>
      </c>
    </row>
    <row r="346" spans="1:6" x14ac:dyDescent="0.25">
      <c r="A346" t="s">
        <v>1702</v>
      </c>
      <c r="B346" t="s">
        <v>763</v>
      </c>
      <c r="C346" t="s">
        <v>1049</v>
      </c>
      <c r="D346" s="1">
        <v>46114</v>
      </c>
      <c r="E346" t="s">
        <v>1547</v>
      </c>
      <c r="F346">
        <v>41000</v>
      </c>
    </row>
    <row r="347" spans="1:6" x14ac:dyDescent="0.25">
      <c r="A347" t="s">
        <v>1701</v>
      </c>
      <c r="B347" t="s">
        <v>967</v>
      </c>
      <c r="C347" t="s">
        <v>1053</v>
      </c>
      <c r="D347" s="1">
        <v>46132</v>
      </c>
      <c r="E347" t="s">
        <v>1547</v>
      </c>
      <c r="F347">
        <v>14000</v>
      </c>
    </row>
    <row r="348" spans="1:6" x14ac:dyDescent="0.25">
      <c r="A348" t="s">
        <v>1700</v>
      </c>
      <c r="B348" t="s">
        <v>603</v>
      </c>
      <c r="C348" t="s">
        <v>1032</v>
      </c>
      <c r="D348" s="1">
        <v>46085</v>
      </c>
      <c r="E348" t="s">
        <v>1545</v>
      </c>
      <c r="F348">
        <v>8000</v>
      </c>
    </row>
    <row r="349" spans="1:6" x14ac:dyDescent="0.25">
      <c r="A349" t="s">
        <v>1699</v>
      </c>
      <c r="B349" t="s">
        <v>550</v>
      </c>
      <c r="C349" t="s">
        <v>1038</v>
      </c>
      <c r="D349" s="1">
        <v>46170</v>
      </c>
      <c r="E349" t="s">
        <v>1547</v>
      </c>
      <c r="F349">
        <v>48000</v>
      </c>
    </row>
    <row r="350" spans="1:6" x14ac:dyDescent="0.25">
      <c r="A350" t="s">
        <v>1698</v>
      </c>
      <c r="B350" t="s">
        <v>968</v>
      </c>
      <c r="C350" t="s">
        <v>1049</v>
      </c>
      <c r="D350" s="1">
        <v>46136</v>
      </c>
      <c r="E350" t="s">
        <v>1547</v>
      </c>
      <c r="F350">
        <v>22000</v>
      </c>
    </row>
    <row r="351" spans="1:6" x14ac:dyDescent="0.25">
      <c r="A351" t="s">
        <v>1697</v>
      </c>
      <c r="B351" t="s">
        <v>704</v>
      </c>
      <c r="C351" t="s">
        <v>1032</v>
      </c>
      <c r="D351" s="1">
        <v>46123</v>
      </c>
      <c r="E351" t="s">
        <v>1547</v>
      </c>
      <c r="F351">
        <v>4000</v>
      </c>
    </row>
    <row r="352" spans="1:6" x14ac:dyDescent="0.25">
      <c r="A352" t="s">
        <v>1696</v>
      </c>
      <c r="B352" t="s">
        <v>553</v>
      </c>
      <c r="C352" t="s">
        <v>1034</v>
      </c>
      <c r="D352" s="1">
        <v>46138</v>
      </c>
      <c r="E352" t="s">
        <v>1545</v>
      </c>
      <c r="F352">
        <v>29000</v>
      </c>
    </row>
    <row r="353" spans="1:6" x14ac:dyDescent="0.25">
      <c r="A353" t="s">
        <v>1695</v>
      </c>
      <c r="B353" t="s">
        <v>764</v>
      </c>
      <c r="C353" t="s">
        <v>1038</v>
      </c>
      <c r="D353" s="1">
        <v>46137</v>
      </c>
      <c r="E353" t="s">
        <v>1545</v>
      </c>
      <c r="F353">
        <v>41000</v>
      </c>
    </row>
    <row r="354" spans="1:6" x14ac:dyDescent="0.25">
      <c r="A354" t="s">
        <v>1694</v>
      </c>
      <c r="B354" t="s">
        <v>1015</v>
      </c>
      <c r="C354" t="s">
        <v>1049</v>
      </c>
      <c r="D354" s="1">
        <v>46164</v>
      </c>
      <c r="E354" t="s">
        <v>1545</v>
      </c>
      <c r="F354">
        <v>3000</v>
      </c>
    </row>
    <row r="355" spans="1:6" x14ac:dyDescent="0.25">
      <c r="A355" t="s">
        <v>1693</v>
      </c>
      <c r="B355" t="s">
        <v>892</v>
      </c>
      <c r="C355" t="s">
        <v>1041</v>
      </c>
      <c r="D355" s="1">
        <v>46134</v>
      </c>
      <c r="E355" t="s">
        <v>1545</v>
      </c>
      <c r="F355">
        <v>31000</v>
      </c>
    </row>
    <row r="356" spans="1:6" x14ac:dyDescent="0.25">
      <c r="A356" t="s">
        <v>1692</v>
      </c>
      <c r="B356" t="s">
        <v>682</v>
      </c>
      <c r="C356" t="s">
        <v>1041</v>
      </c>
      <c r="D356" s="1">
        <v>46179</v>
      </c>
      <c r="E356" t="s">
        <v>1547</v>
      </c>
      <c r="F356">
        <v>27000</v>
      </c>
    </row>
    <row r="357" spans="1:6" x14ac:dyDescent="0.25">
      <c r="A357" t="s">
        <v>1691</v>
      </c>
      <c r="B357" t="s">
        <v>737</v>
      </c>
      <c r="C357" t="s">
        <v>1025</v>
      </c>
      <c r="D357" s="1">
        <v>46046</v>
      </c>
      <c r="E357" t="s">
        <v>1547</v>
      </c>
      <c r="F357">
        <v>40000</v>
      </c>
    </row>
    <row r="358" spans="1:6" x14ac:dyDescent="0.25">
      <c r="A358" t="s">
        <v>1690</v>
      </c>
      <c r="B358" t="s">
        <v>542</v>
      </c>
      <c r="C358" t="s">
        <v>1049</v>
      </c>
      <c r="D358" s="1">
        <v>46142</v>
      </c>
      <c r="E358" t="s">
        <v>1545</v>
      </c>
      <c r="F358">
        <v>37000</v>
      </c>
    </row>
    <row r="359" spans="1:6" x14ac:dyDescent="0.25">
      <c r="A359" t="s">
        <v>1689</v>
      </c>
      <c r="B359" t="s">
        <v>680</v>
      </c>
      <c r="C359" t="s">
        <v>1041</v>
      </c>
      <c r="D359" s="1">
        <v>46202</v>
      </c>
      <c r="E359" t="s">
        <v>1547</v>
      </c>
      <c r="F359">
        <v>31000</v>
      </c>
    </row>
    <row r="360" spans="1:6" x14ac:dyDescent="0.25">
      <c r="A360" t="s">
        <v>1688</v>
      </c>
      <c r="B360" t="s">
        <v>901</v>
      </c>
      <c r="C360" t="s">
        <v>1029</v>
      </c>
      <c r="D360" s="1">
        <v>46112</v>
      </c>
      <c r="E360" t="s">
        <v>1545</v>
      </c>
      <c r="F360">
        <v>40000</v>
      </c>
    </row>
    <row r="361" spans="1:6" x14ac:dyDescent="0.25">
      <c r="A361" t="s">
        <v>1687</v>
      </c>
      <c r="B361" t="s">
        <v>698</v>
      </c>
      <c r="C361" t="s">
        <v>1049</v>
      </c>
      <c r="D361" s="1">
        <v>46050</v>
      </c>
      <c r="E361" t="s">
        <v>1547</v>
      </c>
      <c r="F361">
        <v>48000</v>
      </c>
    </row>
    <row r="362" spans="1:6" x14ac:dyDescent="0.25">
      <c r="A362" t="s">
        <v>1686</v>
      </c>
      <c r="B362" t="s">
        <v>919</v>
      </c>
      <c r="C362" t="s">
        <v>1038</v>
      </c>
      <c r="D362" s="1">
        <v>46074</v>
      </c>
      <c r="E362" t="s">
        <v>1547</v>
      </c>
      <c r="F362">
        <v>25000</v>
      </c>
    </row>
    <row r="363" spans="1:6" x14ac:dyDescent="0.25">
      <c r="A363" t="s">
        <v>1685</v>
      </c>
      <c r="B363" t="s">
        <v>940</v>
      </c>
      <c r="C363" t="s">
        <v>1041</v>
      </c>
      <c r="D363" s="1">
        <v>46166</v>
      </c>
      <c r="E363" t="s">
        <v>1545</v>
      </c>
      <c r="F363">
        <v>43000</v>
      </c>
    </row>
    <row r="364" spans="1:6" x14ac:dyDescent="0.25">
      <c r="A364" t="s">
        <v>1684</v>
      </c>
      <c r="B364" t="s">
        <v>631</v>
      </c>
      <c r="C364" t="s">
        <v>1038</v>
      </c>
      <c r="D364" s="1">
        <v>46156</v>
      </c>
      <c r="E364" t="s">
        <v>1547</v>
      </c>
      <c r="F364">
        <v>22000</v>
      </c>
    </row>
    <row r="365" spans="1:6" x14ac:dyDescent="0.25">
      <c r="A365" t="s">
        <v>1683</v>
      </c>
      <c r="B365" t="s">
        <v>917</v>
      </c>
      <c r="C365" t="s">
        <v>1049</v>
      </c>
      <c r="D365" s="1">
        <v>46109</v>
      </c>
      <c r="E365" t="s">
        <v>1545</v>
      </c>
      <c r="F365">
        <v>30000</v>
      </c>
    </row>
    <row r="366" spans="1:6" x14ac:dyDescent="0.25">
      <c r="A366" t="s">
        <v>1682</v>
      </c>
      <c r="B366" t="s">
        <v>997</v>
      </c>
      <c r="C366" t="s">
        <v>1034</v>
      </c>
      <c r="D366" s="1">
        <v>46084</v>
      </c>
      <c r="E366" t="s">
        <v>1547</v>
      </c>
      <c r="F366">
        <v>49000</v>
      </c>
    </row>
    <row r="367" spans="1:6" x14ac:dyDescent="0.25">
      <c r="A367" t="s">
        <v>1681</v>
      </c>
      <c r="B367" t="s">
        <v>689</v>
      </c>
      <c r="C367" t="s">
        <v>1041</v>
      </c>
      <c r="D367" s="1">
        <v>46044</v>
      </c>
      <c r="E367" t="s">
        <v>1547</v>
      </c>
      <c r="F367">
        <v>48000</v>
      </c>
    </row>
    <row r="368" spans="1:6" x14ac:dyDescent="0.25">
      <c r="A368" t="s">
        <v>1680</v>
      </c>
      <c r="B368" t="s">
        <v>571</v>
      </c>
      <c r="C368" t="s">
        <v>1032</v>
      </c>
      <c r="D368" s="1">
        <v>46106</v>
      </c>
      <c r="E368" t="s">
        <v>1547</v>
      </c>
      <c r="F368">
        <v>34000</v>
      </c>
    </row>
    <row r="369" spans="1:6" x14ac:dyDescent="0.25">
      <c r="A369" t="s">
        <v>1679</v>
      </c>
      <c r="B369" t="s">
        <v>729</v>
      </c>
      <c r="C369" t="s">
        <v>1049</v>
      </c>
      <c r="D369" s="1">
        <v>46079</v>
      </c>
      <c r="E369" t="s">
        <v>1547</v>
      </c>
      <c r="F369">
        <v>23000</v>
      </c>
    </row>
    <row r="370" spans="1:6" x14ac:dyDescent="0.25">
      <c r="A370" t="s">
        <v>1678</v>
      </c>
      <c r="B370" t="s">
        <v>858</v>
      </c>
      <c r="C370" t="s">
        <v>1041</v>
      </c>
      <c r="D370" s="1">
        <v>46203</v>
      </c>
      <c r="E370" t="s">
        <v>1545</v>
      </c>
      <c r="F370">
        <v>21000</v>
      </c>
    </row>
    <row r="371" spans="1:6" x14ac:dyDescent="0.25">
      <c r="A371" t="s">
        <v>1677</v>
      </c>
      <c r="B371" t="s">
        <v>563</v>
      </c>
      <c r="C371" t="s">
        <v>1055</v>
      </c>
      <c r="D371" s="1">
        <v>46194</v>
      </c>
      <c r="E371" t="s">
        <v>1547</v>
      </c>
      <c r="F371">
        <v>8000</v>
      </c>
    </row>
    <row r="372" spans="1:6" x14ac:dyDescent="0.25">
      <c r="A372" t="s">
        <v>1676</v>
      </c>
      <c r="B372" t="s">
        <v>822</v>
      </c>
      <c r="C372" t="s">
        <v>1038</v>
      </c>
      <c r="D372" s="1">
        <v>46116</v>
      </c>
      <c r="E372" t="s">
        <v>1545</v>
      </c>
      <c r="F372">
        <v>37000</v>
      </c>
    </row>
    <row r="373" spans="1:6" x14ac:dyDescent="0.25">
      <c r="A373" t="s">
        <v>1675</v>
      </c>
      <c r="B373" t="s">
        <v>863</v>
      </c>
      <c r="C373" t="s">
        <v>1032</v>
      </c>
      <c r="D373" s="1">
        <v>46062</v>
      </c>
      <c r="E373" t="s">
        <v>1547</v>
      </c>
      <c r="F373">
        <v>20000</v>
      </c>
    </row>
    <row r="374" spans="1:6" x14ac:dyDescent="0.25">
      <c r="A374" t="s">
        <v>1674</v>
      </c>
      <c r="B374" t="s">
        <v>725</v>
      </c>
      <c r="C374" t="s">
        <v>1055</v>
      </c>
      <c r="D374" s="1">
        <v>46187</v>
      </c>
      <c r="E374" t="s">
        <v>1547</v>
      </c>
      <c r="F374">
        <v>5000</v>
      </c>
    </row>
    <row r="375" spans="1:6" x14ac:dyDescent="0.25">
      <c r="A375" t="s">
        <v>1673</v>
      </c>
      <c r="B375" t="s">
        <v>794</v>
      </c>
      <c r="C375" t="s">
        <v>1029</v>
      </c>
      <c r="D375" s="1">
        <v>46034</v>
      </c>
      <c r="E375" t="s">
        <v>1547</v>
      </c>
      <c r="F375">
        <v>20000</v>
      </c>
    </row>
    <row r="376" spans="1:6" x14ac:dyDescent="0.25">
      <c r="A376" t="s">
        <v>1672</v>
      </c>
      <c r="B376" t="s">
        <v>958</v>
      </c>
      <c r="C376" t="s">
        <v>1065</v>
      </c>
      <c r="D376" s="1">
        <v>46066</v>
      </c>
      <c r="E376" t="s">
        <v>1545</v>
      </c>
      <c r="F376">
        <v>10000</v>
      </c>
    </row>
    <row r="377" spans="1:6" x14ac:dyDescent="0.25">
      <c r="A377" t="s">
        <v>1671</v>
      </c>
      <c r="B377" t="s">
        <v>600</v>
      </c>
      <c r="C377" t="s">
        <v>1055</v>
      </c>
      <c r="D377" s="1">
        <v>46170</v>
      </c>
      <c r="E377" t="s">
        <v>1545</v>
      </c>
      <c r="F377">
        <v>1000</v>
      </c>
    </row>
    <row r="378" spans="1:6" x14ac:dyDescent="0.25">
      <c r="A378" t="s">
        <v>1670</v>
      </c>
      <c r="B378" t="s">
        <v>983</v>
      </c>
      <c r="C378" t="s">
        <v>1038</v>
      </c>
      <c r="D378" s="1">
        <v>46149</v>
      </c>
      <c r="E378" t="s">
        <v>1545</v>
      </c>
      <c r="F378">
        <v>30000</v>
      </c>
    </row>
    <row r="379" spans="1:6" x14ac:dyDescent="0.25">
      <c r="A379" t="s">
        <v>1669</v>
      </c>
      <c r="B379" t="s">
        <v>695</v>
      </c>
      <c r="C379" t="s">
        <v>1041</v>
      </c>
      <c r="D379" s="1">
        <v>46200</v>
      </c>
      <c r="E379" t="s">
        <v>1547</v>
      </c>
      <c r="F379">
        <v>6000</v>
      </c>
    </row>
    <row r="380" spans="1:6" x14ac:dyDescent="0.25">
      <c r="A380" t="s">
        <v>1668</v>
      </c>
      <c r="B380" t="s">
        <v>825</v>
      </c>
      <c r="C380" t="s">
        <v>1032</v>
      </c>
      <c r="D380" s="1">
        <v>46131</v>
      </c>
      <c r="E380" t="s">
        <v>1547</v>
      </c>
      <c r="F380">
        <v>11000</v>
      </c>
    </row>
    <row r="381" spans="1:6" x14ac:dyDescent="0.25">
      <c r="A381" t="s">
        <v>1667</v>
      </c>
      <c r="B381" t="s">
        <v>935</v>
      </c>
      <c r="C381" t="s">
        <v>1025</v>
      </c>
      <c r="D381" s="1">
        <v>46128</v>
      </c>
      <c r="E381" t="s">
        <v>1545</v>
      </c>
      <c r="F381">
        <v>47000</v>
      </c>
    </row>
    <row r="382" spans="1:6" x14ac:dyDescent="0.25">
      <c r="A382" t="s">
        <v>1666</v>
      </c>
      <c r="B382" t="s">
        <v>962</v>
      </c>
      <c r="C382" t="s">
        <v>1055</v>
      </c>
      <c r="D382" s="1">
        <v>46086</v>
      </c>
      <c r="E382" t="s">
        <v>1547</v>
      </c>
      <c r="F382">
        <v>36000</v>
      </c>
    </row>
    <row r="383" spans="1:6" x14ac:dyDescent="0.25">
      <c r="A383" t="s">
        <v>1665</v>
      </c>
      <c r="B383" t="s">
        <v>757</v>
      </c>
      <c r="C383" t="s">
        <v>1065</v>
      </c>
      <c r="D383" s="1">
        <v>46027</v>
      </c>
      <c r="E383" t="s">
        <v>1547</v>
      </c>
      <c r="F383">
        <v>33000</v>
      </c>
    </row>
    <row r="384" spans="1:6" x14ac:dyDescent="0.25">
      <c r="A384" t="s">
        <v>1664</v>
      </c>
      <c r="B384" t="s">
        <v>714</v>
      </c>
      <c r="C384" t="s">
        <v>1049</v>
      </c>
      <c r="D384" s="1">
        <v>46041</v>
      </c>
      <c r="E384" t="s">
        <v>1545</v>
      </c>
      <c r="F384">
        <v>13000</v>
      </c>
    </row>
    <row r="385" spans="1:6" x14ac:dyDescent="0.25">
      <c r="A385" t="s">
        <v>1663</v>
      </c>
      <c r="B385" t="s">
        <v>768</v>
      </c>
      <c r="C385" t="s">
        <v>1025</v>
      </c>
      <c r="D385" s="1">
        <v>46179</v>
      </c>
      <c r="E385" t="s">
        <v>1547</v>
      </c>
      <c r="F385">
        <v>35000</v>
      </c>
    </row>
    <row r="386" spans="1:6" x14ac:dyDescent="0.25">
      <c r="A386" t="s">
        <v>1662</v>
      </c>
      <c r="B386" t="s">
        <v>966</v>
      </c>
      <c r="C386" t="s">
        <v>1041</v>
      </c>
      <c r="D386" s="1">
        <v>46080</v>
      </c>
      <c r="E386" t="s">
        <v>1547</v>
      </c>
      <c r="F386">
        <v>6000</v>
      </c>
    </row>
    <row r="387" spans="1:6" x14ac:dyDescent="0.25">
      <c r="A387" t="s">
        <v>1661</v>
      </c>
      <c r="B387" t="s">
        <v>873</v>
      </c>
      <c r="C387" t="s">
        <v>1025</v>
      </c>
      <c r="D387" s="1">
        <v>46126</v>
      </c>
      <c r="E387" t="s">
        <v>1545</v>
      </c>
      <c r="F387">
        <v>21000</v>
      </c>
    </row>
    <row r="388" spans="1:6" x14ac:dyDescent="0.25">
      <c r="A388" t="s">
        <v>1660</v>
      </c>
      <c r="B388" t="s">
        <v>728</v>
      </c>
      <c r="C388" t="s">
        <v>1034</v>
      </c>
      <c r="D388" s="1">
        <v>46099</v>
      </c>
      <c r="E388" t="s">
        <v>1547</v>
      </c>
      <c r="F388">
        <v>25000</v>
      </c>
    </row>
    <row r="389" spans="1:6" x14ac:dyDescent="0.25">
      <c r="A389" t="s">
        <v>1659</v>
      </c>
      <c r="B389" t="s">
        <v>707</v>
      </c>
      <c r="C389" t="s">
        <v>1034</v>
      </c>
      <c r="D389" s="1">
        <v>46034</v>
      </c>
      <c r="E389" t="s">
        <v>1547</v>
      </c>
      <c r="F389">
        <v>27000</v>
      </c>
    </row>
    <row r="390" spans="1:6" x14ac:dyDescent="0.25">
      <c r="A390" t="s">
        <v>1658</v>
      </c>
      <c r="B390" t="s">
        <v>708</v>
      </c>
      <c r="C390" t="s">
        <v>1032</v>
      </c>
      <c r="D390" s="1">
        <v>46174</v>
      </c>
      <c r="E390" t="s">
        <v>1545</v>
      </c>
      <c r="F390">
        <v>50000</v>
      </c>
    </row>
    <row r="391" spans="1:6" x14ac:dyDescent="0.25">
      <c r="A391" t="s">
        <v>1657</v>
      </c>
      <c r="B391" t="s">
        <v>992</v>
      </c>
      <c r="C391" t="s">
        <v>1038</v>
      </c>
      <c r="D391" s="1">
        <v>46160</v>
      </c>
      <c r="E391" t="s">
        <v>1545</v>
      </c>
      <c r="F391">
        <v>5000</v>
      </c>
    </row>
    <row r="392" spans="1:6" x14ac:dyDescent="0.25">
      <c r="A392" t="s">
        <v>1656</v>
      </c>
      <c r="B392" t="s">
        <v>615</v>
      </c>
      <c r="C392" t="s">
        <v>1029</v>
      </c>
      <c r="D392" s="1">
        <v>46135</v>
      </c>
      <c r="E392" t="s">
        <v>1547</v>
      </c>
      <c r="F392">
        <v>50000</v>
      </c>
    </row>
    <row r="393" spans="1:6" x14ac:dyDescent="0.25">
      <c r="A393" t="s">
        <v>1655</v>
      </c>
      <c r="B393" t="s">
        <v>906</v>
      </c>
      <c r="C393" t="s">
        <v>1055</v>
      </c>
      <c r="D393" s="1">
        <v>46100</v>
      </c>
      <c r="E393" t="s">
        <v>1547</v>
      </c>
      <c r="F393">
        <v>2000</v>
      </c>
    </row>
    <row r="394" spans="1:6" x14ac:dyDescent="0.25">
      <c r="A394" t="s">
        <v>1654</v>
      </c>
      <c r="B394" t="s">
        <v>690</v>
      </c>
      <c r="C394" t="s">
        <v>1055</v>
      </c>
      <c r="D394" s="1">
        <v>46201</v>
      </c>
      <c r="E394" t="s">
        <v>1545</v>
      </c>
      <c r="F394">
        <v>15000</v>
      </c>
    </row>
    <row r="395" spans="1:6" x14ac:dyDescent="0.25">
      <c r="A395" t="s">
        <v>1653</v>
      </c>
      <c r="B395" t="s">
        <v>894</v>
      </c>
      <c r="C395" t="s">
        <v>1029</v>
      </c>
      <c r="D395" s="1">
        <v>46140</v>
      </c>
      <c r="E395" t="s">
        <v>1547</v>
      </c>
      <c r="F395">
        <v>19000</v>
      </c>
    </row>
    <row r="396" spans="1:6" x14ac:dyDescent="0.25">
      <c r="A396" t="s">
        <v>1652</v>
      </c>
      <c r="B396" t="s">
        <v>920</v>
      </c>
      <c r="C396" t="s">
        <v>1055</v>
      </c>
      <c r="D396" s="1">
        <v>46116</v>
      </c>
      <c r="E396" t="s">
        <v>1545</v>
      </c>
      <c r="F396">
        <v>49000</v>
      </c>
    </row>
    <row r="397" spans="1:6" x14ac:dyDescent="0.25">
      <c r="A397" t="s">
        <v>1651</v>
      </c>
      <c r="B397" t="s">
        <v>806</v>
      </c>
      <c r="C397" t="s">
        <v>1065</v>
      </c>
      <c r="D397" s="1">
        <v>46040</v>
      </c>
      <c r="E397" t="s">
        <v>1545</v>
      </c>
      <c r="F397">
        <v>3000</v>
      </c>
    </row>
    <row r="398" spans="1:6" x14ac:dyDescent="0.25">
      <c r="A398" t="s">
        <v>1650</v>
      </c>
      <c r="B398" t="s">
        <v>578</v>
      </c>
      <c r="C398" t="s">
        <v>1049</v>
      </c>
      <c r="D398" s="1">
        <v>46189</v>
      </c>
      <c r="E398" t="s">
        <v>1545</v>
      </c>
      <c r="F398">
        <v>39000</v>
      </c>
    </row>
    <row r="399" spans="1:6" x14ac:dyDescent="0.25">
      <c r="A399" t="s">
        <v>1649</v>
      </c>
      <c r="B399" t="s">
        <v>716</v>
      </c>
      <c r="C399" t="s">
        <v>1038</v>
      </c>
      <c r="D399" s="1">
        <v>46155</v>
      </c>
      <c r="E399" t="s">
        <v>1545</v>
      </c>
      <c r="F399">
        <v>29000</v>
      </c>
    </row>
    <row r="400" spans="1:6" x14ac:dyDescent="0.25">
      <c r="A400" t="s">
        <v>1648</v>
      </c>
      <c r="B400" t="s">
        <v>702</v>
      </c>
      <c r="C400" t="s">
        <v>1038</v>
      </c>
      <c r="D400" s="1">
        <v>46044</v>
      </c>
      <c r="E400" t="s">
        <v>1547</v>
      </c>
      <c r="F400">
        <v>45000</v>
      </c>
    </row>
    <row r="401" spans="1:6" x14ac:dyDescent="0.25">
      <c r="A401" t="s">
        <v>1647</v>
      </c>
      <c r="B401" t="s">
        <v>542</v>
      </c>
      <c r="C401" t="s">
        <v>1053</v>
      </c>
      <c r="D401" s="1">
        <v>46041</v>
      </c>
      <c r="E401" t="s">
        <v>1545</v>
      </c>
      <c r="F401">
        <v>28000</v>
      </c>
    </row>
    <row r="402" spans="1:6" x14ac:dyDescent="0.25">
      <c r="A402" t="s">
        <v>1646</v>
      </c>
      <c r="B402" t="s">
        <v>629</v>
      </c>
      <c r="C402" t="s">
        <v>1041</v>
      </c>
      <c r="D402" s="1">
        <v>46167</v>
      </c>
      <c r="E402" t="s">
        <v>1547</v>
      </c>
      <c r="F402">
        <v>21000</v>
      </c>
    </row>
    <row r="403" spans="1:6" x14ac:dyDescent="0.25">
      <c r="A403" t="s">
        <v>1645</v>
      </c>
      <c r="B403" t="s">
        <v>1020</v>
      </c>
      <c r="C403" t="s">
        <v>1041</v>
      </c>
      <c r="D403" s="1">
        <v>46156</v>
      </c>
      <c r="E403" t="s">
        <v>1547</v>
      </c>
      <c r="F403">
        <v>15000</v>
      </c>
    </row>
    <row r="404" spans="1:6" x14ac:dyDescent="0.25">
      <c r="A404" t="s">
        <v>1644</v>
      </c>
      <c r="B404" t="s">
        <v>692</v>
      </c>
      <c r="C404" t="s">
        <v>1055</v>
      </c>
      <c r="D404" s="1">
        <v>46140</v>
      </c>
      <c r="E404" t="s">
        <v>1545</v>
      </c>
      <c r="F404">
        <v>11000</v>
      </c>
    </row>
    <row r="405" spans="1:6" x14ac:dyDescent="0.25">
      <c r="A405" t="s">
        <v>1643</v>
      </c>
      <c r="B405" t="s">
        <v>921</v>
      </c>
      <c r="C405" t="s">
        <v>1032</v>
      </c>
      <c r="D405" s="1">
        <v>46129</v>
      </c>
      <c r="E405" t="s">
        <v>1545</v>
      </c>
      <c r="F405">
        <v>38000</v>
      </c>
    </row>
    <row r="406" spans="1:6" x14ac:dyDescent="0.25">
      <c r="A406" t="s">
        <v>1642</v>
      </c>
      <c r="B406" t="s">
        <v>868</v>
      </c>
      <c r="C406" t="s">
        <v>1029</v>
      </c>
      <c r="D406" s="1">
        <v>46109</v>
      </c>
      <c r="E406" t="s">
        <v>1545</v>
      </c>
      <c r="F406">
        <v>22000</v>
      </c>
    </row>
    <row r="407" spans="1:6" x14ac:dyDescent="0.25">
      <c r="A407" t="s">
        <v>1641</v>
      </c>
      <c r="B407" t="s">
        <v>584</v>
      </c>
      <c r="C407" t="s">
        <v>1034</v>
      </c>
      <c r="D407" s="1">
        <v>46024</v>
      </c>
      <c r="E407" t="s">
        <v>1547</v>
      </c>
      <c r="F407">
        <v>7000</v>
      </c>
    </row>
    <row r="408" spans="1:6" x14ac:dyDescent="0.25">
      <c r="A408" t="s">
        <v>1640</v>
      </c>
      <c r="B408" t="s">
        <v>733</v>
      </c>
      <c r="C408" t="s">
        <v>1038</v>
      </c>
      <c r="D408" s="1">
        <v>46154</v>
      </c>
      <c r="E408" t="s">
        <v>1547</v>
      </c>
      <c r="F408">
        <v>49000</v>
      </c>
    </row>
    <row r="409" spans="1:6" x14ac:dyDescent="0.25">
      <c r="A409" t="s">
        <v>1639</v>
      </c>
      <c r="B409" t="s">
        <v>583</v>
      </c>
      <c r="C409" t="s">
        <v>1034</v>
      </c>
      <c r="D409" s="1">
        <v>46058</v>
      </c>
      <c r="E409" t="s">
        <v>1545</v>
      </c>
      <c r="F409">
        <v>13000</v>
      </c>
    </row>
    <row r="410" spans="1:6" x14ac:dyDescent="0.25">
      <c r="A410" t="s">
        <v>1638</v>
      </c>
      <c r="B410" t="s">
        <v>883</v>
      </c>
      <c r="C410" t="s">
        <v>1032</v>
      </c>
      <c r="D410" s="1">
        <v>46174</v>
      </c>
      <c r="E410" t="s">
        <v>1545</v>
      </c>
      <c r="F410">
        <v>46000</v>
      </c>
    </row>
    <row r="411" spans="1:6" x14ac:dyDescent="0.25">
      <c r="A411" t="s">
        <v>1637</v>
      </c>
      <c r="B411" t="s">
        <v>942</v>
      </c>
      <c r="C411" t="s">
        <v>1053</v>
      </c>
      <c r="D411" s="1">
        <v>46129</v>
      </c>
      <c r="E411" t="s">
        <v>1547</v>
      </c>
      <c r="F411">
        <v>42000</v>
      </c>
    </row>
    <row r="412" spans="1:6" x14ac:dyDescent="0.25">
      <c r="A412" t="s">
        <v>1636</v>
      </c>
      <c r="B412" t="s">
        <v>796</v>
      </c>
      <c r="C412" t="s">
        <v>1032</v>
      </c>
      <c r="D412" s="1">
        <v>46035</v>
      </c>
      <c r="E412" t="s">
        <v>1545</v>
      </c>
      <c r="F412">
        <v>39000</v>
      </c>
    </row>
    <row r="413" spans="1:6" x14ac:dyDescent="0.25">
      <c r="A413" t="s">
        <v>1635</v>
      </c>
      <c r="B413" t="s">
        <v>619</v>
      </c>
      <c r="C413" t="s">
        <v>1038</v>
      </c>
      <c r="D413" s="1">
        <v>46067</v>
      </c>
      <c r="E413" t="s">
        <v>1547</v>
      </c>
      <c r="F413">
        <v>39000</v>
      </c>
    </row>
    <row r="414" spans="1:6" x14ac:dyDescent="0.25">
      <c r="A414" t="s">
        <v>1634</v>
      </c>
      <c r="B414" t="s">
        <v>1010</v>
      </c>
      <c r="C414" t="s">
        <v>1025</v>
      </c>
      <c r="D414" s="1">
        <v>46182</v>
      </c>
      <c r="E414" t="s">
        <v>1547</v>
      </c>
      <c r="F414">
        <v>35000</v>
      </c>
    </row>
    <row r="415" spans="1:6" x14ac:dyDescent="0.25">
      <c r="A415" t="s">
        <v>1633</v>
      </c>
      <c r="B415" t="s">
        <v>1013</v>
      </c>
      <c r="C415" t="s">
        <v>1055</v>
      </c>
      <c r="D415" s="1">
        <v>46173</v>
      </c>
      <c r="E415" t="s">
        <v>1547</v>
      </c>
      <c r="F415">
        <v>45000</v>
      </c>
    </row>
    <row r="416" spans="1:6" x14ac:dyDescent="0.25">
      <c r="A416" t="s">
        <v>1632</v>
      </c>
      <c r="B416" t="s">
        <v>675</v>
      </c>
      <c r="C416" t="s">
        <v>1065</v>
      </c>
      <c r="D416" s="1">
        <v>46164</v>
      </c>
      <c r="E416" t="s">
        <v>1547</v>
      </c>
      <c r="F416">
        <v>39000</v>
      </c>
    </row>
    <row r="417" spans="1:6" x14ac:dyDescent="0.25">
      <c r="A417" t="s">
        <v>1631</v>
      </c>
      <c r="B417" t="s">
        <v>666</v>
      </c>
      <c r="C417" t="s">
        <v>1049</v>
      </c>
      <c r="D417" s="1">
        <v>46178</v>
      </c>
      <c r="E417" t="s">
        <v>1547</v>
      </c>
      <c r="F417">
        <v>40000</v>
      </c>
    </row>
    <row r="418" spans="1:6" x14ac:dyDescent="0.25">
      <c r="A418" t="s">
        <v>1630</v>
      </c>
      <c r="B418" t="s">
        <v>700</v>
      </c>
      <c r="C418" t="s">
        <v>1034</v>
      </c>
      <c r="D418" s="1">
        <v>46202</v>
      </c>
      <c r="E418" t="s">
        <v>1547</v>
      </c>
      <c r="F418">
        <v>46000</v>
      </c>
    </row>
    <row r="419" spans="1:6" x14ac:dyDescent="0.25">
      <c r="A419" t="s">
        <v>1629</v>
      </c>
      <c r="B419" t="s">
        <v>618</v>
      </c>
      <c r="C419" t="s">
        <v>1025</v>
      </c>
      <c r="D419" s="1">
        <v>46157</v>
      </c>
      <c r="E419" t="s">
        <v>1547</v>
      </c>
      <c r="F419">
        <v>34000</v>
      </c>
    </row>
    <row r="420" spans="1:6" x14ac:dyDescent="0.25">
      <c r="A420" t="s">
        <v>1628</v>
      </c>
      <c r="B420" t="s">
        <v>529</v>
      </c>
      <c r="C420" t="s">
        <v>1034</v>
      </c>
      <c r="D420" s="1">
        <v>46188</v>
      </c>
      <c r="E420" t="s">
        <v>1545</v>
      </c>
      <c r="F420">
        <v>41000</v>
      </c>
    </row>
    <row r="421" spans="1:6" x14ac:dyDescent="0.25">
      <c r="A421" t="s">
        <v>1627</v>
      </c>
      <c r="B421" t="s">
        <v>966</v>
      </c>
      <c r="C421" t="s">
        <v>1029</v>
      </c>
      <c r="D421" s="1">
        <v>46115</v>
      </c>
      <c r="E421" t="s">
        <v>1545</v>
      </c>
      <c r="F421">
        <v>9000</v>
      </c>
    </row>
    <row r="422" spans="1:6" x14ac:dyDescent="0.25">
      <c r="A422" t="s">
        <v>1626</v>
      </c>
      <c r="B422" t="s">
        <v>549</v>
      </c>
      <c r="C422" t="s">
        <v>1041</v>
      </c>
      <c r="D422" s="1">
        <v>46038</v>
      </c>
      <c r="E422" t="s">
        <v>1545</v>
      </c>
      <c r="F422">
        <v>28000</v>
      </c>
    </row>
    <row r="423" spans="1:6" x14ac:dyDescent="0.25">
      <c r="A423" t="s">
        <v>1625</v>
      </c>
      <c r="B423" t="s">
        <v>876</v>
      </c>
      <c r="C423" t="s">
        <v>1049</v>
      </c>
      <c r="D423" s="1">
        <v>46129</v>
      </c>
      <c r="E423" t="s">
        <v>1545</v>
      </c>
      <c r="F423">
        <v>23000</v>
      </c>
    </row>
    <row r="424" spans="1:6" x14ac:dyDescent="0.25">
      <c r="A424" t="s">
        <v>1624</v>
      </c>
      <c r="B424" t="s">
        <v>935</v>
      </c>
      <c r="C424" t="s">
        <v>1032</v>
      </c>
      <c r="D424" s="1">
        <v>46068</v>
      </c>
      <c r="E424" t="s">
        <v>1547</v>
      </c>
      <c r="F424">
        <v>38000</v>
      </c>
    </row>
    <row r="425" spans="1:6" x14ac:dyDescent="0.25">
      <c r="A425" t="s">
        <v>1623</v>
      </c>
      <c r="B425" t="s">
        <v>898</v>
      </c>
      <c r="C425" t="s">
        <v>1055</v>
      </c>
      <c r="D425" s="1">
        <v>46121</v>
      </c>
      <c r="E425" t="s">
        <v>1547</v>
      </c>
      <c r="F425">
        <v>7000</v>
      </c>
    </row>
    <row r="426" spans="1:6" x14ac:dyDescent="0.25">
      <c r="A426" t="s">
        <v>1622</v>
      </c>
      <c r="B426" t="s">
        <v>850</v>
      </c>
      <c r="C426" t="s">
        <v>1025</v>
      </c>
      <c r="D426" s="1">
        <v>46201</v>
      </c>
      <c r="E426" t="s">
        <v>1545</v>
      </c>
      <c r="F426">
        <v>40000</v>
      </c>
    </row>
    <row r="427" spans="1:6" x14ac:dyDescent="0.25">
      <c r="A427" t="s">
        <v>1621</v>
      </c>
      <c r="B427" t="s">
        <v>959</v>
      </c>
      <c r="C427" t="s">
        <v>1041</v>
      </c>
      <c r="D427" s="1">
        <v>46067</v>
      </c>
      <c r="E427" t="s">
        <v>1547</v>
      </c>
      <c r="F427">
        <v>47000</v>
      </c>
    </row>
    <row r="428" spans="1:6" x14ac:dyDescent="0.25">
      <c r="A428" t="s">
        <v>1620</v>
      </c>
      <c r="B428" t="s">
        <v>613</v>
      </c>
      <c r="C428" t="s">
        <v>1034</v>
      </c>
      <c r="D428" s="1">
        <v>46170</v>
      </c>
      <c r="E428" t="s">
        <v>1545</v>
      </c>
      <c r="F428">
        <v>31000</v>
      </c>
    </row>
    <row r="429" spans="1:6" x14ac:dyDescent="0.25">
      <c r="A429" t="s">
        <v>1619</v>
      </c>
      <c r="B429" t="s">
        <v>983</v>
      </c>
      <c r="C429" t="s">
        <v>1053</v>
      </c>
      <c r="D429" s="1">
        <v>46121</v>
      </c>
      <c r="E429" t="s">
        <v>1545</v>
      </c>
      <c r="F429">
        <v>36000</v>
      </c>
    </row>
    <row r="430" spans="1:6" x14ac:dyDescent="0.25">
      <c r="A430" t="s">
        <v>1618</v>
      </c>
      <c r="B430" t="s">
        <v>894</v>
      </c>
      <c r="C430" t="s">
        <v>1029</v>
      </c>
      <c r="D430" s="1">
        <v>46137</v>
      </c>
      <c r="E430" t="s">
        <v>1545</v>
      </c>
      <c r="F430">
        <v>8000</v>
      </c>
    </row>
    <row r="431" spans="1:6" x14ac:dyDescent="0.25">
      <c r="A431" t="s">
        <v>1617</v>
      </c>
      <c r="B431" t="s">
        <v>713</v>
      </c>
      <c r="C431" t="s">
        <v>1038</v>
      </c>
      <c r="D431" s="1">
        <v>46125</v>
      </c>
      <c r="E431" t="s">
        <v>1547</v>
      </c>
      <c r="F431">
        <v>31000</v>
      </c>
    </row>
    <row r="432" spans="1:6" x14ac:dyDescent="0.25">
      <c r="A432" t="s">
        <v>1616</v>
      </c>
      <c r="B432" t="s">
        <v>853</v>
      </c>
      <c r="C432" t="s">
        <v>1055</v>
      </c>
      <c r="D432" s="1">
        <v>46075</v>
      </c>
      <c r="E432" t="s">
        <v>1547</v>
      </c>
      <c r="F432">
        <v>12000</v>
      </c>
    </row>
    <row r="433" spans="1:6" x14ac:dyDescent="0.25">
      <c r="A433" t="s">
        <v>1615</v>
      </c>
      <c r="B433" t="s">
        <v>729</v>
      </c>
      <c r="C433" t="s">
        <v>1041</v>
      </c>
      <c r="D433" s="1">
        <v>46061</v>
      </c>
      <c r="E433" t="s">
        <v>1545</v>
      </c>
      <c r="F433">
        <v>16000</v>
      </c>
    </row>
    <row r="434" spans="1:6" x14ac:dyDescent="0.25">
      <c r="A434" t="s">
        <v>1614</v>
      </c>
      <c r="B434" t="s">
        <v>582</v>
      </c>
      <c r="C434" t="s">
        <v>1041</v>
      </c>
      <c r="D434" s="1">
        <v>46118</v>
      </c>
      <c r="E434" t="s">
        <v>1545</v>
      </c>
      <c r="F434">
        <v>5000</v>
      </c>
    </row>
    <row r="435" spans="1:6" x14ac:dyDescent="0.25">
      <c r="A435" t="s">
        <v>1613</v>
      </c>
      <c r="B435" t="s">
        <v>732</v>
      </c>
      <c r="C435" t="s">
        <v>1032</v>
      </c>
      <c r="D435" s="1">
        <v>46167</v>
      </c>
      <c r="E435" t="s">
        <v>1545</v>
      </c>
      <c r="F435">
        <v>22000</v>
      </c>
    </row>
    <row r="436" spans="1:6" x14ac:dyDescent="0.25">
      <c r="A436" t="s">
        <v>1612</v>
      </c>
      <c r="B436" t="s">
        <v>787</v>
      </c>
      <c r="C436" t="s">
        <v>1034</v>
      </c>
      <c r="D436" s="1">
        <v>46074</v>
      </c>
      <c r="E436" t="s">
        <v>1547</v>
      </c>
      <c r="F436">
        <v>6000</v>
      </c>
    </row>
    <row r="437" spans="1:6" x14ac:dyDescent="0.25">
      <c r="A437" t="s">
        <v>1611</v>
      </c>
      <c r="B437" t="s">
        <v>770</v>
      </c>
      <c r="C437" t="s">
        <v>1038</v>
      </c>
      <c r="D437" s="1">
        <v>46166</v>
      </c>
      <c r="E437" t="s">
        <v>1547</v>
      </c>
      <c r="F437">
        <v>22000</v>
      </c>
    </row>
    <row r="438" spans="1:6" x14ac:dyDescent="0.25">
      <c r="A438" t="s">
        <v>1610</v>
      </c>
      <c r="B438" t="s">
        <v>972</v>
      </c>
      <c r="C438" t="s">
        <v>1041</v>
      </c>
      <c r="D438" s="1">
        <v>46035</v>
      </c>
      <c r="E438" t="s">
        <v>1545</v>
      </c>
      <c r="F438">
        <v>10000</v>
      </c>
    </row>
    <row r="439" spans="1:6" x14ac:dyDescent="0.25">
      <c r="A439" t="s">
        <v>1609</v>
      </c>
      <c r="B439" t="s">
        <v>792</v>
      </c>
      <c r="C439" t="s">
        <v>1025</v>
      </c>
      <c r="D439" s="1">
        <v>46168</v>
      </c>
      <c r="E439" t="s">
        <v>1547</v>
      </c>
      <c r="F439">
        <v>29000</v>
      </c>
    </row>
    <row r="440" spans="1:6" x14ac:dyDescent="0.25">
      <c r="A440" t="s">
        <v>1608</v>
      </c>
      <c r="B440" t="s">
        <v>654</v>
      </c>
      <c r="C440" t="s">
        <v>1041</v>
      </c>
      <c r="D440" s="1">
        <v>46040</v>
      </c>
      <c r="E440" t="s">
        <v>1547</v>
      </c>
      <c r="F440">
        <v>11000</v>
      </c>
    </row>
    <row r="441" spans="1:6" x14ac:dyDescent="0.25">
      <c r="A441" t="s">
        <v>1607</v>
      </c>
      <c r="B441" t="s">
        <v>579</v>
      </c>
      <c r="C441" t="s">
        <v>1055</v>
      </c>
      <c r="D441" s="1">
        <v>46181</v>
      </c>
      <c r="E441" t="s">
        <v>1545</v>
      </c>
      <c r="F441">
        <v>45000</v>
      </c>
    </row>
    <row r="442" spans="1:6" x14ac:dyDescent="0.25">
      <c r="A442" t="s">
        <v>1606</v>
      </c>
      <c r="B442" t="s">
        <v>746</v>
      </c>
      <c r="C442" t="s">
        <v>1065</v>
      </c>
      <c r="D442" s="1">
        <v>46051</v>
      </c>
      <c r="E442" t="s">
        <v>1547</v>
      </c>
      <c r="F442">
        <v>42000</v>
      </c>
    </row>
    <row r="443" spans="1:6" x14ac:dyDescent="0.25">
      <c r="A443" t="s">
        <v>1605</v>
      </c>
      <c r="B443" t="s">
        <v>705</v>
      </c>
      <c r="C443" t="s">
        <v>1034</v>
      </c>
      <c r="D443" s="1">
        <v>46082</v>
      </c>
      <c r="E443" t="s">
        <v>1547</v>
      </c>
      <c r="F443">
        <v>14000</v>
      </c>
    </row>
    <row r="444" spans="1:6" x14ac:dyDescent="0.25">
      <c r="A444" t="s">
        <v>1604</v>
      </c>
      <c r="B444" t="s">
        <v>640</v>
      </c>
      <c r="C444" t="s">
        <v>1049</v>
      </c>
      <c r="D444" s="1">
        <v>46181</v>
      </c>
      <c r="E444" t="s">
        <v>1547</v>
      </c>
      <c r="F444">
        <v>5000</v>
      </c>
    </row>
    <row r="445" spans="1:6" x14ac:dyDescent="0.25">
      <c r="A445" t="s">
        <v>1603</v>
      </c>
      <c r="B445" t="s">
        <v>537</v>
      </c>
      <c r="C445" t="s">
        <v>1049</v>
      </c>
      <c r="D445" s="1">
        <v>46116</v>
      </c>
      <c r="E445" t="s">
        <v>1545</v>
      </c>
      <c r="F445">
        <v>39000</v>
      </c>
    </row>
    <row r="446" spans="1:6" x14ac:dyDescent="0.25">
      <c r="A446" t="s">
        <v>1602</v>
      </c>
      <c r="B446" t="s">
        <v>995</v>
      </c>
      <c r="C446" t="s">
        <v>1032</v>
      </c>
      <c r="D446" s="1">
        <v>46129</v>
      </c>
      <c r="E446" t="s">
        <v>1545</v>
      </c>
      <c r="F446">
        <v>39000</v>
      </c>
    </row>
    <row r="447" spans="1:6" x14ac:dyDescent="0.25">
      <c r="A447" t="s">
        <v>1601</v>
      </c>
      <c r="B447" t="s">
        <v>864</v>
      </c>
      <c r="C447" t="s">
        <v>1025</v>
      </c>
      <c r="D447" s="1">
        <v>46187</v>
      </c>
      <c r="E447" t="s">
        <v>1545</v>
      </c>
      <c r="F447">
        <v>47000</v>
      </c>
    </row>
    <row r="448" spans="1:6" x14ac:dyDescent="0.25">
      <c r="A448" t="s">
        <v>1600</v>
      </c>
      <c r="B448" t="s">
        <v>883</v>
      </c>
      <c r="C448" t="s">
        <v>1032</v>
      </c>
      <c r="D448" s="1">
        <v>46138</v>
      </c>
      <c r="E448" t="s">
        <v>1545</v>
      </c>
      <c r="F448">
        <v>6000</v>
      </c>
    </row>
    <row r="449" spans="1:6" x14ac:dyDescent="0.25">
      <c r="A449" t="s">
        <v>1599</v>
      </c>
      <c r="B449" t="s">
        <v>662</v>
      </c>
      <c r="C449" t="s">
        <v>1038</v>
      </c>
      <c r="D449" s="1">
        <v>46159</v>
      </c>
      <c r="E449" t="s">
        <v>1547</v>
      </c>
      <c r="F449">
        <v>38000</v>
      </c>
    </row>
    <row r="450" spans="1:6" x14ac:dyDescent="0.25">
      <c r="A450" t="s">
        <v>1598</v>
      </c>
      <c r="B450" t="s">
        <v>959</v>
      </c>
      <c r="C450" t="s">
        <v>1049</v>
      </c>
      <c r="D450" s="1">
        <v>46133</v>
      </c>
      <c r="E450" t="s">
        <v>1545</v>
      </c>
      <c r="F450">
        <v>41000</v>
      </c>
    </row>
    <row r="451" spans="1:6" x14ac:dyDescent="0.25">
      <c r="A451" t="s">
        <v>1597</v>
      </c>
      <c r="B451" t="s">
        <v>562</v>
      </c>
      <c r="C451" t="s">
        <v>1032</v>
      </c>
      <c r="D451" s="1">
        <v>46125</v>
      </c>
      <c r="E451" t="s">
        <v>1547</v>
      </c>
      <c r="F451">
        <v>22000</v>
      </c>
    </row>
    <row r="452" spans="1:6" x14ac:dyDescent="0.25">
      <c r="A452" t="s">
        <v>1596</v>
      </c>
      <c r="B452" t="s">
        <v>543</v>
      </c>
      <c r="C452" t="s">
        <v>1025</v>
      </c>
      <c r="D452" s="1">
        <v>46166</v>
      </c>
      <c r="E452" t="s">
        <v>1547</v>
      </c>
      <c r="F452">
        <v>49000</v>
      </c>
    </row>
    <row r="453" spans="1:6" x14ac:dyDescent="0.25">
      <c r="A453" t="s">
        <v>1595</v>
      </c>
      <c r="B453" t="s">
        <v>978</v>
      </c>
      <c r="C453" t="s">
        <v>1032</v>
      </c>
      <c r="D453" s="1">
        <v>46095</v>
      </c>
      <c r="E453" t="s">
        <v>1545</v>
      </c>
      <c r="F453">
        <v>13000</v>
      </c>
    </row>
    <row r="454" spans="1:6" x14ac:dyDescent="0.25">
      <c r="A454" t="s">
        <v>1594</v>
      </c>
      <c r="B454" t="s">
        <v>526</v>
      </c>
      <c r="C454" t="s">
        <v>1041</v>
      </c>
      <c r="D454" s="1">
        <v>46103</v>
      </c>
      <c r="E454" t="s">
        <v>1547</v>
      </c>
      <c r="F454">
        <v>7000</v>
      </c>
    </row>
    <row r="455" spans="1:6" x14ac:dyDescent="0.25">
      <c r="A455" t="s">
        <v>1593</v>
      </c>
      <c r="B455" t="s">
        <v>735</v>
      </c>
      <c r="C455" t="s">
        <v>1038</v>
      </c>
      <c r="D455" s="1">
        <v>46199</v>
      </c>
      <c r="E455" t="s">
        <v>1547</v>
      </c>
      <c r="F455">
        <v>33000</v>
      </c>
    </row>
    <row r="456" spans="1:6" x14ac:dyDescent="0.25">
      <c r="A456" t="s">
        <v>1592</v>
      </c>
      <c r="B456" t="s">
        <v>948</v>
      </c>
      <c r="C456" t="s">
        <v>1032</v>
      </c>
      <c r="D456" s="1">
        <v>46027</v>
      </c>
      <c r="E456" t="s">
        <v>1545</v>
      </c>
      <c r="F456">
        <v>15000</v>
      </c>
    </row>
    <row r="457" spans="1:6" x14ac:dyDescent="0.25">
      <c r="A457" t="s">
        <v>1591</v>
      </c>
      <c r="B457" t="s">
        <v>707</v>
      </c>
      <c r="C457" t="s">
        <v>1025</v>
      </c>
      <c r="D457" s="1">
        <v>46152</v>
      </c>
      <c r="E457" t="s">
        <v>1545</v>
      </c>
      <c r="F457">
        <v>13000</v>
      </c>
    </row>
    <row r="458" spans="1:6" x14ac:dyDescent="0.25">
      <c r="A458" t="s">
        <v>1590</v>
      </c>
      <c r="B458" t="s">
        <v>948</v>
      </c>
      <c r="C458" t="s">
        <v>1029</v>
      </c>
      <c r="D458" s="1">
        <v>46120</v>
      </c>
      <c r="E458" t="s">
        <v>1547</v>
      </c>
      <c r="F458">
        <v>41000</v>
      </c>
    </row>
    <row r="459" spans="1:6" x14ac:dyDescent="0.25">
      <c r="A459" t="s">
        <v>1589</v>
      </c>
      <c r="B459" t="s">
        <v>957</v>
      </c>
      <c r="C459" t="s">
        <v>1025</v>
      </c>
      <c r="D459" s="1">
        <v>46060</v>
      </c>
      <c r="E459" t="s">
        <v>1545</v>
      </c>
      <c r="F459">
        <v>39000</v>
      </c>
    </row>
    <row r="460" spans="1:6" x14ac:dyDescent="0.25">
      <c r="A460" t="s">
        <v>1588</v>
      </c>
      <c r="B460" t="s">
        <v>1002</v>
      </c>
      <c r="C460" t="s">
        <v>1029</v>
      </c>
      <c r="D460" s="1">
        <v>46095</v>
      </c>
      <c r="E460" t="s">
        <v>1547</v>
      </c>
      <c r="F460">
        <v>34000</v>
      </c>
    </row>
    <row r="461" spans="1:6" x14ac:dyDescent="0.25">
      <c r="A461" t="s">
        <v>1587</v>
      </c>
      <c r="B461" t="s">
        <v>765</v>
      </c>
      <c r="C461" t="s">
        <v>1034</v>
      </c>
      <c r="D461" s="1">
        <v>46083</v>
      </c>
      <c r="E461" t="s">
        <v>1545</v>
      </c>
      <c r="F461">
        <v>47000</v>
      </c>
    </row>
    <row r="462" spans="1:6" x14ac:dyDescent="0.25">
      <c r="A462" t="s">
        <v>1586</v>
      </c>
      <c r="B462" t="s">
        <v>992</v>
      </c>
      <c r="C462" t="s">
        <v>1065</v>
      </c>
      <c r="D462" s="1">
        <v>46029</v>
      </c>
      <c r="E462" t="s">
        <v>1547</v>
      </c>
      <c r="F462">
        <v>6000</v>
      </c>
    </row>
    <row r="463" spans="1:6" x14ac:dyDescent="0.25">
      <c r="A463" t="s">
        <v>1585</v>
      </c>
      <c r="B463" t="s">
        <v>897</v>
      </c>
      <c r="C463" t="s">
        <v>1032</v>
      </c>
      <c r="D463" s="1">
        <v>46190</v>
      </c>
      <c r="E463" t="s">
        <v>1547</v>
      </c>
      <c r="F463">
        <v>35000</v>
      </c>
    </row>
    <row r="464" spans="1:6" x14ac:dyDescent="0.25">
      <c r="A464" t="s">
        <v>1584</v>
      </c>
      <c r="B464" t="s">
        <v>965</v>
      </c>
      <c r="C464" t="s">
        <v>1055</v>
      </c>
      <c r="D464" s="1">
        <v>46097</v>
      </c>
      <c r="E464" t="s">
        <v>1545</v>
      </c>
      <c r="F464">
        <v>43000</v>
      </c>
    </row>
    <row r="465" spans="1:6" x14ac:dyDescent="0.25">
      <c r="A465" t="s">
        <v>1583</v>
      </c>
      <c r="B465" t="s">
        <v>624</v>
      </c>
      <c r="C465" t="s">
        <v>1041</v>
      </c>
      <c r="D465" s="1">
        <v>46178</v>
      </c>
      <c r="E465" t="s">
        <v>1547</v>
      </c>
      <c r="F465">
        <v>40000</v>
      </c>
    </row>
    <row r="466" spans="1:6" x14ac:dyDescent="0.25">
      <c r="A466" t="s">
        <v>1582</v>
      </c>
      <c r="B466" t="s">
        <v>800</v>
      </c>
      <c r="C466" t="s">
        <v>1034</v>
      </c>
      <c r="D466" s="1">
        <v>46026</v>
      </c>
      <c r="E466" t="s">
        <v>1547</v>
      </c>
      <c r="F466">
        <v>43000</v>
      </c>
    </row>
    <row r="467" spans="1:6" x14ac:dyDescent="0.25">
      <c r="A467" t="s">
        <v>1581</v>
      </c>
      <c r="B467" t="s">
        <v>729</v>
      </c>
      <c r="C467" t="s">
        <v>1049</v>
      </c>
      <c r="D467" s="1">
        <v>46132</v>
      </c>
      <c r="E467" t="s">
        <v>1545</v>
      </c>
      <c r="F467">
        <v>28000</v>
      </c>
    </row>
    <row r="468" spans="1:6" x14ac:dyDescent="0.25">
      <c r="A468" t="s">
        <v>1580</v>
      </c>
      <c r="B468" t="s">
        <v>637</v>
      </c>
      <c r="C468" t="s">
        <v>1032</v>
      </c>
      <c r="D468" s="1">
        <v>46037</v>
      </c>
      <c r="E468" t="s">
        <v>1547</v>
      </c>
      <c r="F468">
        <v>48000</v>
      </c>
    </row>
    <row r="469" spans="1:6" x14ac:dyDescent="0.25">
      <c r="A469" t="s">
        <v>1579</v>
      </c>
      <c r="B469" t="s">
        <v>591</v>
      </c>
      <c r="C469" t="s">
        <v>1055</v>
      </c>
      <c r="D469" s="1">
        <v>46140</v>
      </c>
      <c r="E469" t="s">
        <v>1547</v>
      </c>
      <c r="F469">
        <v>39000</v>
      </c>
    </row>
    <row r="470" spans="1:6" x14ac:dyDescent="0.25">
      <c r="A470" t="s">
        <v>1578</v>
      </c>
      <c r="B470" t="s">
        <v>875</v>
      </c>
      <c r="C470" t="s">
        <v>1038</v>
      </c>
      <c r="D470" s="1">
        <v>46075</v>
      </c>
      <c r="E470" t="s">
        <v>1545</v>
      </c>
      <c r="F470">
        <v>41000</v>
      </c>
    </row>
    <row r="471" spans="1:6" x14ac:dyDescent="0.25">
      <c r="A471" t="s">
        <v>1577</v>
      </c>
      <c r="B471" t="s">
        <v>1003</v>
      </c>
      <c r="C471" t="s">
        <v>1038</v>
      </c>
      <c r="D471" s="1">
        <v>46132</v>
      </c>
      <c r="E471" t="s">
        <v>1547</v>
      </c>
      <c r="F471">
        <v>1000</v>
      </c>
    </row>
    <row r="472" spans="1:6" x14ac:dyDescent="0.25">
      <c r="A472" t="s">
        <v>1576</v>
      </c>
      <c r="B472" t="s">
        <v>588</v>
      </c>
      <c r="C472" t="s">
        <v>1065</v>
      </c>
      <c r="D472" s="1">
        <v>46168</v>
      </c>
      <c r="E472" t="s">
        <v>1547</v>
      </c>
      <c r="F472">
        <v>18000</v>
      </c>
    </row>
    <row r="473" spans="1:6" x14ac:dyDescent="0.25">
      <c r="A473" t="s">
        <v>1575</v>
      </c>
      <c r="B473" t="s">
        <v>936</v>
      </c>
      <c r="C473" t="s">
        <v>1049</v>
      </c>
      <c r="D473" s="1">
        <v>46157</v>
      </c>
      <c r="E473" t="s">
        <v>1545</v>
      </c>
      <c r="F473">
        <v>48000</v>
      </c>
    </row>
    <row r="474" spans="1:6" x14ac:dyDescent="0.25">
      <c r="A474" t="s">
        <v>1574</v>
      </c>
      <c r="B474" t="s">
        <v>704</v>
      </c>
      <c r="C474" t="s">
        <v>1041</v>
      </c>
      <c r="D474" s="1">
        <v>46094</v>
      </c>
      <c r="E474" t="s">
        <v>1547</v>
      </c>
      <c r="F474">
        <v>42000</v>
      </c>
    </row>
    <row r="475" spans="1:6" x14ac:dyDescent="0.25">
      <c r="A475" t="s">
        <v>1573</v>
      </c>
      <c r="B475" t="s">
        <v>684</v>
      </c>
      <c r="C475" t="s">
        <v>1029</v>
      </c>
      <c r="D475" s="1">
        <v>46194</v>
      </c>
      <c r="E475" t="s">
        <v>1547</v>
      </c>
      <c r="F475">
        <v>28000</v>
      </c>
    </row>
    <row r="476" spans="1:6" x14ac:dyDescent="0.25">
      <c r="A476" t="s">
        <v>1572</v>
      </c>
      <c r="B476" t="s">
        <v>798</v>
      </c>
      <c r="C476" t="s">
        <v>1034</v>
      </c>
      <c r="D476" s="1">
        <v>46055</v>
      </c>
      <c r="E476" t="s">
        <v>1547</v>
      </c>
      <c r="F476">
        <v>49000</v>
      </c>
    </row>
    <row r="477" spans="1:6" x14ac:dyDescent="0.25">
      <c r="A477" t="s">
        <v>1571</v>
      </c>
      <c r="B477" t="s">
        <v>820</v>
      </c>
      <c r="C477" t="s">
        <v>1041</v>
      </c>
      <c r="D477" s="1">
        <v>46030</v>
      </c>
      <c r="E477" t="s">
        <v>1547</v>
      </c>
      <c r="F477">
        <v>47000</v>
      </c>
    </row>
    <row r="478" spans="1:6" x14ac:dyDescent="0.25">
      <c r="A478" t="s">
        <v>1570</v>
      </c>
      <c r="B478" t="s">
        <v>598</v>
      </c>
      <c r="C478" t="s">
        <v>1029</v>
      </c>
      <c r="D478" s="1">
        <v>46089</v>
      </c>
      <c r="E478" t="s">
        <v>1545</v>
      </c>
      <c r="F478">
        <v>46000</v>
      </c>
    </row>
    <row r="479" spans="1:6" x14ac:dyDescent="0.25">
      <c r="A479" t="s">
        <v>1569</v>
      </c>
      <c r="B479" t="s">
        <v>913</v>
      </c>
      <c r="C479" t="s">
        <v>1032</v>
      </c>
      <c r="D479" s="1">
        <v>46036</v>
      </c>
      <c r="E479" t="s">
        <v>1545</v>
      </c>
      <c r="F479">
        <v>26000</v>
      </c>
    </row>
    <row r="480" spans="1:6" x14ac:dyDescent="0.25">
      <c r="A480" t="s">
        <v>1568</v>
      </c>
      <c r="B480" t="s">
        <v>964</v>
      </c>
      <c r="C480" t="s">
        <v>1049</v>
      </c>
      <c r="D480" s="1">
        <v>46196</v>
      </c>
      <c r="E480" t="s">
        <v>1547</v>
      </c>
      <c r="F480">
        <v>27000</v>
      </c>
    </row>
    <row r="481" spans="1:6" x14ac:dyDescent="0.25">
      <c r="A481" t="s">
        <v>1567</v>
      </c>
      <c r="B481" t="s">
        <v>1001</v>
      </c>
      <c r="C481" t="s">
        <v>1055</v>
      </c>
      <c r="D481" s="1">
        <v>46159</v>
      </c>
      <c r="E481" t="s">
        <v>1545</v>
      </c>
      <c r="F481">
        <v>24000</v>
      </c>
    </row>
    <row r="482" spans="1:6" x14ac:dyDescent="0.25">
      <c r="A482" t="s">
        <v>1566</v>
      </c>
      <c r="B482" t="s">
        <v>675</v>
      </c>
      <c r="C482" t="s">
        <v>1053</v>
      </c>
      <c r="D482" s="1">
        <v>46119</v>
      </c>
      <c r="E482" t="s">
        <v>1547</v>
      </c>
      <c r="F482">
        <v>27000</v>
      </c>
    </row>
    <row r="483" spans="1:6" x14ac:dyDescent="0.25">
      <c r="A483" t="s">
        <v>1565</v>
      </c>
      <c r="B483" t="s">
        <v>551</v>
      </c>
      <c r="C483" t="s">
        <v>1038</v>
      </c>
      <c r="D483" s="1">
        <v>46071</v>
      </c>
      <c r="E483" t="s">
        <v>1545</v>
      </c>
      <c r="F483">
        <v>14000</v>
      </c>
    </row>
    <row r="484" spans="1:6" x14ac:dyDescent="0.25">
      <c r="A484" t="s">
        <v>1564</v>
      </c>
      <c r="B484" t="s">
        <v>670</v>
      </c>
      <c r="C484" t="s">
        <v>1065</v>
      </c>
      <c r="D484" s="1">
        <v>46160</v>
      </c>
      <c r="E484" t="s">
        <v>1545</v>
      </c>
      <c r="F484">
        <v>17000</v>
      </c>
    </row>
    <row r="485" spans="1:6" x14ac:dyDescent="0.25">
      <c r="A485" t="s">
        <v>1563</v>
      </c>
      <c r="B485" t="s">
        <v>641</v>
      </c>
      <c r="C485" t="s">
        <v>1041</v>
      </c>
      <c r="D485" s="1">
        <v>46111</v>
      </c>
      <c r="E485" t="s">
        <v>1547</v>
      </c>
      <c r="F485">
        <v>29000</v>
      </c>
    </row>
    <row r="486" spans="1:6" x14ac:dyDescent="0.25">
      <c r="A486" t="s">
        <v>1562</v>
      </c>
      <c r="B486" t="s">
        <v>912</v>
      </c>
      <c r="C486" t="s">
        <v>1065</v>
      </c>
      <c r="D486" s="1">
        <v>46043</v>
      </c>
      <c r="E486" t="s">
        <v>1547</v>
      </c>
      <c r="F486">
        <v>27000</v>
      </c>
    </row>
    <row r="487" spans="1:6" x14ac:dyDescent="0.25">
      <c r="A487" t="s">
        <v>1561</v>
      </c>
      <c r="B487" t="s">
        <v>990</v>
      </c>
      <c r="C487" t="s">
        <v>1025</v>
      </c>
      <c r="D487" s="1">
        <v>46035</v>
      </c>
      <c r="E487" t="s">
        <v>1545</v>
      </c>
      <c r="F487">
        <v>49000</v>
      </c>
    </row>
    <row r="488" spans="1:6" x14ac:dyDescent="0.25">
      <c r="A488" t="s">
        <v>1560</v>
      </c>
      <c r="B488" t="s">
        <v>929</v>
      </c>
      <c r="C488" t="s">
        <v>1049</v>
      </c>
      <c r="D488" s="1">
        <v>46026</v>
      </c>
      <c r="E488" t="s">
        <v>1547</v>
      </c>
      <c r="F488">
        <v>37000</v>
      </c>
    </row>
    <row r="489" spans="1:6" x14ac:dyDescent="0.25">
      <c r="A489" t="s">
        <v>1559</v>
      </c>
      <c r="B489" t="s">
        <v>726</v>
      </c>
      <c r="C489" t="s">
        <v>1029</v>
      </c>
      <c r="D489" s="1">
        <v>46104</v>
      </c>
      <c r="E489" t="s">
        <v>1545</v>
      </c>
      <c r="F489">
        <v>4000</v>
      </c>
    </row>
    <row r="490" spans="1:6" x14ac:dyDescent="0.25">
      <c r="A490" t="s">
        <v>1558</v>
      </c>
      <c r="B490" t="s">
        <v>727</v>
      </c>
      <c r="C490" t="s">
        <v>1029</v>
      </c>
      <c r="D490" s="1">
        <v>46044</v>
      </c>
      <c r="E490" t="s">
        <v>1545</v>
      </c>
      <c r="F490">
        <v>10000</v>
      </c>
    </row>
    <row r="491" spans="1:6" x14ac:dyDescent="0.25">
      <c r="A491" t="s">
        <v>1557</v>
      </c>
      <c r="B491" t="s">
        <v>874</v>
      </c>
      <c r="C491" t="s">
        <v>1053</v>
      </c>
      <c r="D491" s="1">
        <v>46113</v>
      </c>
      <c r="E491" t="s">
        <v>1545</v>
      </c>
      <c r="F491">
        <v>13000</v>
      </c>
    </row>
    <row r="492" spans="1:6" x14ac:dyDescent="0.25">
      <c r="A492" t="s">
        <v>1556</v>
      </c>
      <c r="B492" t="s">
        <v>852</v>
      </c>
      <c r="C492" t="s">
        <v>1049</v>
      </c>
      <c r="D492" s="1">
        <v>46077</v>
      </c>
      <c r="E492" t="s">
        <v>1547</v>
      </c>
      <c r="F492">
        <v>50000</v>
      </c>
    </row>
    <row r="493" spans="1:6" x14ac:dyDescent="0.25">
      <c r="A493" t="s">
        <v>1555</v>
      </c>
      <c r="B493" t="s">
        <v>542</v>
      </c>
      <c r="C493" t="s">
        <v>1055</v>
      </c>
      <c r="D493" s="1">
        <v>46127</v>
      </c>
      <c r="E493" t="s">
        <v>1547</v>
      </c>
      <c r="F493">
        <v>17000</v>
      </c>
    </row>
    <row r="494" spans="1:6" x14ac:dyDescent="0.25">
      <c r="A494" t="s">
        <v>1554</v>
      </c>
      <c r="B494" t="s">
        <v>899</v>
      </c>
      <c r="C494" t="s">
        <v>1053</v>
      </c>
      <c r="D494" s="1">
        <v>46095</v>
      </c>
      <c r="E494" t="s">
        <v>1547</v>
      </c>
      <c r="F494">
        <v>44000</v>
      </c>
    </row>
    <row r="495" spans="1:6" x14ac:dyDescent="0.25">
      <c r="A495" t="s">
        <v>1553</v>
      </c>
      <c r="B495" t="s">
        <v>651</v>
      </c>
      <c r="C495" t="s">
        <v>1038</v>
      </c>
      <c r="D495" s="1">
        <v>46153</v>
      </c>
      <c r="E495" t="s">
        <v>1545</v>
      </c>
      <c r="F495">
        <v>17000</v>
      </c>
    </row>
    <row r="496" spans="1:6" x14ac:dyDescent="0.25">
      <c r="A496" t="s">
        <v>1552</v>
      </c>
      <c r="B496" t="s">
        <v>1015</v>
      </c>
      <c r="C496" t="s">
        <v>1038</v>
      </c>
      <c r="D496" s="1">
        <v>46066</v>
      </c>
      <c r="E496" t="s">
        <v>1547</v>
      </c>
      <c r="F496">
        <v>47000</v>
      </c>
    </row>
    <row r="497" spans="1:6" x14ac:dyDescent="0.25">
      <c r="A497" t="s">
        <v>1551</v>
      </c>
      <c r="B497" t="s">
        <v>895</v>
      </c>
      <c r="C497" t="s">
        <v>1025</v>
      </c>
      <c r="D497" s="1">
        <v>46026</v>
      </c>
      <c r="E497" t="s">
        <v>1545</v>
      </c>
      <c r="F497">
        <v>27000</v>
      </c>
    </row>
    <row r="498" spans="1:6" x14ac:dyDescent="0.25">
      <c r="A498" t="s">
        <v>1550</v>
      </c>
      <c r="B498" t="s">
        <v>729</v>
      </c>
      <c r="C498" t="s">
        <v>1038</v>
      </c>
      <c r="D498" s="1">
        <v>46152</v>
      </c>
      <c r="E498" t="s">
        <v>1545</v>
      </c>
      <c r="F498">
        <v>4000</v>
      </c>
    </row>
    <row r="499" spans="1:6" x14ac:dyDescent="0.25">
      <c r="A499" t="s">
        <v>1549</v>
      </c>
      <c r="B499" t="s">
        <v>615</v>
      </c>
      <c r="C499" t="s">
        <v>1029</v>
      </c>
      <c r="D499" s="1">
        <v>46062</v>
      </c>
      <c r="E499" t="s">
        <v>1545</v>
      </c>
      <c r="F499">
        <v>8000</v>
      </c>
    </row>
    <row r="500" spans="1:6" x14ac:dyDescent="0.25">
      <c r="A500" t="s">
        <v>1548</v>
      </c>
      <c r="B500" t="s">
        <v>702</v>
      </c>
      <c r="C500" t="s">
        <v>1041</v>
      </c>
      <c r="D500" s="1">
        <v>46125</v>
      </c>
      <c r="E500" t="s">
        <v>1547</v>
      </c>
      <c r="F500">
        <v>26000</v>
      </c>
    </row>
    <row r="501" spans="1:6" x14ac:dyDescent="0.25">
      <c r="A501" t="s">
        <v>1546</v>
      </c>
      <c r="B501" t="s">
        <v>525</v>
      </c>
      <c r="C501" t="s">
        <v>1038</v>
      </c>
      <c r="D501" s="1">
        <v>46177</v>
      </c>
      <c r="E501" t="s">
        <v>1545</v>
      </c>
      <c r="F501">
        <v>22000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election sqref="A1:D11"/>
    </sheetView>
  </sheetViews>
  <sheetFormatPr defaultColWidth="9" defaultRowHeight="14.4" x14ac:dyDescent="0.25"/>
  <cols>
    <col min="1" max="1" width="12.88671875" customWidth="1"/>
    <col min="2" max="2" width="15.109375" customWidth="1"/>
    <col min="3" max="3" width="9.5546875" customWidth="1"/>
    <col min="4" max="4" width="24" customWidth="1"/>
  </cols>
  <sheetData>
    <row r="1" spans="1:4" x14ac:dyDescent="0.25">
      <c r="A1" t="s">
        <v>9</v>
      </c>
      <c r="B1" t="s">
        <v>2047</v>
      </c>
      <c r="C1" t="s">
        <v>2048</v>
      </c>
      <c r="D1" t="s">
        <v>2049</v>
      </c>
    </row>
    <row r="2" spans="1:4" x14ac:dyDescent="0.25">
      <c r="A2" t="s">
        <v>2050</v>
      </c>
      <c r="B2" t="s">
        <v>2051</v>
      </c>
      <c r="C2" t="s">
        <v>2052</v>
      </c>
      <c r="D2">
        <v>208000000</v>
      </c>
    </row>
    <row r="3" spans="1:4" x14ac:dyDescent="0.25">
      <c r="A3" t="s">
        <v>2053</v>
      </c>
      <c r="B3" t="s">
        <v>2054</v>
      </c>
      <c r="C3" t="s">
        <v>2055</v>
      </c>
      <c r="D3">
        <v>239000000</v>
      </c>
    </row>
    <row r="4" spans="1:4" x14ac:dyDescent="0.25">
      <c r="A4" t="s">
        <v>2056</v>
      </c>
      <c r="B4" t="s">
        <v>2057</v>
      </c>
      <c r="C4" t="s">
        <v>2058</v>
      </c>
      <c r="D4">
        <v>202000000</v>
      </c>
    </row>
    <row r="5" spans="1:4" x14ac:dyDescent="0.25">
      <c r="A5" t="s">
        <v>2059</v>
      </c>
      <c r="B5" t="s">
        <v>2060</v>
      </c>
      <c r="C5" t="s">
        <v>2055</v>
      </c>
      <c r="D5">
        <v>232000000</v>
      </c>
    </row>
    <row r="6" spans="1:4" x14ac:dyDescent="0.25">
      <c r="A6" t="s">
        <v>2061</v>
      </c>
      <c r="B6" t="s">
        <v>2062</v>
      </c>
      <c r="C6" t="s">
        <v>2058</v>
      </c>
      <c r="D6">
        <v>350000000</v>
      </c>
    </row>
    <row r="7" spans="1:4" x14ac:dyDescent="0.25">
      <c r="A7" t="s">
        <v>2063</v>
      </c>
      <c r="B7" t="s">
        <v>2064</v>
      </c>
      <c r="C7" t="s">
        <v>2055</v>
      </c>
      <c r="D7">
        <v>244000000</v>
      </c>
    </row>
    <row r="8" spans="1:4" x14ac:dyDescent="0.25">
      <c r="A8" t="s">
        <v>2065</v>
      </c>
      <c r="B8" t="s">
        <v>2066</v>
      </c>
      <c r="C8" t="s">
        <v>2067</v>
      </c>
      <c r="D8">
        <v>499000000</v>
      </c>
    </row>
    <row r="9" spans="1:4" x14ac:dyDescent="0.25">
      <c r="A9" t="s">
        <v>2068</v>
      </c>
      <c r="B9" t="s">
        <v>2069</v>
      </c>
      <c r="C9" t="s">
        <v>2055</v>
      </c>
      <c r="D9">
        <v>254000000</v>
      </c>
    </row>
    <row r="10" spans="1:4" x14ac:dyDescent="0.25">
      <c r="A10" t="s">
        <v>2070</v>
      </c>
      <c r="B10" t="s">
        <v>2071</v>
      </c>
      <c r="C10" t="s">
        <v>2067</v>
      </c>
      <c r="D10">
        <v>331000000</v>
      </c>
    </row>
    <row r="11" spans="1:4" x14ac:dyDescent="0.25">
      <c r="A11" t="s">
        <v>2072</v>
      </c>
      <c r="B11" t="s">
        <v>2073</v>
      </c>
      <c r="C11" t="s">
        <v>2058</v>
      </c>
      <c r="D11">
        <v>121000000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D88AD-D081-43F7-A845-FC0EC9D508FE}">
  <dimension ref="A1:U19"/>
  <sheetViews>
    <sheetView tabSelected="1" topLeftCell="B1" workbookViewId="0">
      <selection activeCell="H9" sqref="H9"/>
    </sheetView>
  </sheetViews>
  <sheetFormatPr defaultRowHeight="14.4" x14ac:dyDescent="0.25"/>
  <sheetData>
    <row r="1" spans="1:21" ht="15" x14ac:dyDescent="0.3">
      <c r="A1" s="2" t="s">
        <v>2074</v>
      </c>
    </row>
    <row r="2" spans="1:21" ht="15" x14ac:dyDescent="0.3">
      <c r="A2" s="9" t="s">
        <v>2075</v>
      </c>
      <c r="B2" s="9"/>
      <c r="C2" s="9"/>
      <c r="D2" s="9"/>
      <c r="F2" s="11" t="s">
        <v>2076</v>
      </c>
      <c r="G2" s="11"/>
      <c r="H2" s="11"/>
      <c r="J2" s="12" t="s">
        <v>2101</v>
      </c>
      <c r="K2" s="11"/>
      <c r="L2" s="11"/>
      <c r="N2" s="12" t="s">
        <v>2102</v>
      </c>
      <c r="O2" s="11"/>
      <c r="P2" s="11"/>
      <c r="R2" s="12" t="s">
        <v>2103</v>
      </c>
      <c r="S2" s="11"/>
      <c r="T2" s="11"/>
    </row>
    <row r="3" spans="1:21" ht="15" customHeight="1" x14ac:dyDescent="0.25">
      <c r="A3" s="10">
        <f>GETPIVOTDATA("Sum of Loan Amount",Pivot_Analysis!$A$20,"Loan Status","Active")</f>
        <v>22476000</v>
      </c>
      <c r="B3" s="10"/>
      <c r="C3" s="10"/>
      <c r="D3" s="10"/>
      <c r="F3" s="10">
        <f>GETPIVOTDATA("Sum of Loan Amount",Pivot_Analysis!$A$20,"Loan Status","Default")</f>
        <v>5482000</v>
      </c>
      <c r="G3" s="10"/>
      <c r="H3" s="10"/>
      <c r="J3" s="11">
        <f>GETPIVOTDATA("Sum of Credit Score",Pivot_Analysis!$A$2)</f>
        <v>348641</v>
      </c>
      <c r="K3" s="11"/>
      <c r="L3" s="11"/>
      <c r="N3" s="11">
        <f>GETPIVOTDATA("Sum of DTI",Pivot_Analysis!$A$20,"Loan Status","Active")</f>
        <v>140.64000000000004</v>
      </c>
      <c r="O3" s="11"/>
      <c r="P3" s="11"/>
      <c r="R3" s="11">
        <f>GETPIVOTDATA("Sum of DTI",Pivot_Analysis!$A$20,"Loan Status","Default")</f>
        <v>34.400000000000006</v>
      </c>
      <c r="S3" s="11"/>
      <c r="T3" s="11"/>
    </row>
    <row r="4" spans="1:21" x14ac:dyDescent="0.25">
      <c r="A4" s="10"/>
      <c r="B4" s="10"/>
      <c r="C4" s="10"/>
      <c r="D4" s="10"/>
      <c r="F4" s="10"/>
      <c r="G4" s="10"/>
      <c r="H4" s="10"/>
      <c r="J4" s="11"/>
      <c r="K4" s="11"/>
      <c r="L4" s="11"/>
      <c r="N4" s="11"/>
      <c r="O4" s="11"/>
      <c r="P4" s="11"/>
      <c r="R4" s="11"/>
      <c r="S4" s="11"/>
      <c r="T4" s="11"/>
    </row>
    <row r="5" spans="1:21" x14ac:dyDescent="0.25">
      <c r="A5" t="s">
        <v>2076</v>
      </c>
      <c r="B5" s="4">
        <f>COUNTIF(Loans!G2:G501, "Default")/COUNTA(Loans!A2:A501)</f>
        <v>0.19400000000000001</v>
      </c>
    </row>
    <row r="6" spans="1:21" ht="15" x14ac:dyDescent="0.3">
      <c r="A6" t="s">
        <v>2077</v>
      </c>
      <c r="B6">
        <f>SUMIF(Transactions!E2:E501,"Deposit", Transactions!F2:F501)</f>
        <v>5837000</v>
      </c>
      <c r="G6" s="12" t="s">
        <v>2104</v>
      </c>
      <c r="H6" s="11"/>
      <c r="I6" s="11"/>
      <c r="K6" s="12" t="s">
        <v>2105</v>
      </c>
      <c r="L6" s="11"/>
      <c r="M6" s="11"/>
      <c r="O6" s="12" t="s">
        <v>2106</v>
      </c>
      <c r="P6" s="11"/>
      <c r="Q6" s="11"/>
      <c r="S6" s="12" t="s">
        <v>2049</v>
      </c>
      <c r="T6" s="11"/>
      <c r="U6" s="11"/>
    </row>
    <row r="7" spans="1:21" x14ac:dyDescent="0.25">
      <c r="A7" t="s">
        <v>2078</v>
      </c>
      <c r="B7">
        <f>SUMIF(Transactions!E2:E501, "Withdrawal", Transactions!F2:F501)</f>
        <v>7325000</v>
      </c>
      <c r="G7" s="11">
        <f>GETPIVOTDATA("Sum of Amount",Pivot_Analysis!$A$31,"Transaction Type","Deposit")</f>
        <v>5837000</v>
      </c>
      <c r="H7" s="11"/>
      <c r="I7" s="11"/>
      <c r="K7" s="11">
        <f>GETPIVOTDATA("Sum of Amount",Pivot_Analysis!$A$31,"Transaction Type","Withdrawal")</f>
        <v>7325000</v>
      </c>
      <c r="L7" s="11"/>
      <c r="M7" s="11"/>
      <c r="O7" s="11">
        <f>GETPIVOTDATA("Sum of Amount",Pivot_Analysis!$A$31)</f>
        <v>13162000</v>
      </c>
      <c r="P7" s="11"/>
      <c r="Q7" s="11"/>
      <c r="S7" s="11">
        <f>GETPIVOTDATA("Sum of Target Deposit Goal",Pivot_Analysis!$A$38)</f>
        <v>2680000000</v>
      </c>
      <c r="T7" s="11"/>
      <c r="U7" s="11"/>
    </row>
    <row r="8" spans="1:21" x14ac:dyDescent="0.25">
      <c r="G8" s="11"/>
      <c r="H8" s="11"/>
      <c r="I8" s="11"/>
      <c r="K8" s="11"/>
      <c r="L8" s="11"/>
      <c r="M8" s="11"/>
      <c r="O8" s="11"/>
      <c r="P8" s="11"/>
      <c r="Q8" s="11"/>
      <c r="S8" s="11"/>
      <c r="T8" s="11"/>
      <c r="U8" s="11"/>
    </row>
    <row r="9" spans="1:21" x14ac:dyDescent="0.25">
      <c r="A9" t="s">
        <v>9</v>
      </c>
      <c r="B9" t="s">
        <v>2047</v>
      </c>
      <c r="C9" t="s">
        <v>2079</v>
      </c>
      <c r="D9" t="s">
        <v>2077</v>
      </c>
      <c r="E9" t="s">
        <v>2080</v>
      </c>
    </row>
    <row r="10" spans="1:21" x14ac:dyDescent="0.25">
      <c r="A10" t="str">
        <f>Branches!A2</f>
        <v>B001</v>
      </c>
      <c r="B10" t="str">
        <f>Branches!B2</f>
        <v>Branch1</v>
      </c>
      <c r="C10">
        <f>SUMIF(Loans!C$2:C$501, A10, Loans!E$2:E$501)</f>
        <v>0</v>
      </c>
      <c r="D10">
        <f>SUMIFS(Transactions!F$2:F$501, Transactions!C$2:C$501, A10, Transactions!E$2:E$501, "Deposit")</f>
        <v>0</v>
      </c>
      <c r="E10">
        <f>D10/Branches!D2</f>
        <v>0</v>
      </c>
    </row>
    <row r="11" spans="1:21" x14ac:dyDescent="0.25">
      <c r="A11" t="str">
        <f>Branches!A3</f>
        <v>B002</v>
      </c>
      <c r="B11" t="str">
        <f>Branches!B3</f>
        <v>Branch2</v>
      </c>
      <c r="C11">
        <f>SUMIF(Loans!C$2:C$501, A11, Loans!E$2:E$501)</f>
        <v>0</v>
      </c>
      <c r="D11">
        <f>SUMIFS(Transactions!F$2:F$501, Transactions!C$2:C$501, A11, Transactions!E$2:E$501, "Deposit")</f>
        <v>0</v>
      </c>
      <c r="E11">
        <f>D11/Branches!D3</f>
        <v>0</v>
      </c>
    </row>
    <row r="12" spans="1:21" x14ac:dyDescent="0.25">
      <c r="A12" t="str">
        <f>Branches!A4</f>
        <v>B003</v>
      </c>
      <c r="B12" t="str">
        <f>Branches!B4</f>
        <v>Branch3</v>
      </c>
      <c r="C12">
        <f>SUMIF(Loans!C$2:C$501, A12, Loans!E$2:E$501)</f>
        <v>0</v>
      </c>
      <c r="D12">
        <f>SUMIFS(Transactions!F$2:F$501, Transactions!C$2:C$501, A12, Transactions!E$2:E$501, "Deposit")</f>
        <v>0</v>
      </c>
      <c r="E12">
        <f>D12/Branches!D4</f>
        <v>0</v>
      </c>
    </row>
    <row r="13" spans="1:21" x14ac:dyDescent="0.25">
      <c r="A13" t="str">
        <f>Branches!A5</f>
        <v>B004</v>
      </c>
      <c r="B13" t="str">
        <f>Branches!B5</f>
        <v>Branch4</v>
      </c>
      <c r="C13">
        <f>SUMIF(Loans!C$2:C$501, A13, Loans!E$2:E$501)</f>
        <v>0</v>
      </c>
      <c r="D13">
        <f>SUMIFS(Transactions!F$2:F$501, Transactions!C$2:C$501, A13, Transactions!E$2:E$501, "Deposit")</f>
        <v>0</v>
      </c>
      <c r="E13">
        <f>D13/Branches!D5</f>
        <v>0</v>
      </c>
    </row>
    <row r="14" spans="1:21" x14ac:dyDescent="0.25">
      <c r="A14" t="str">
        <f>Branches!A6</f>
        <v>B005</v>
      </c>
      <c r="B14" t="str">
        <f>Branches!B6</f>
        <v>Branch5</v>
      </c>
      <c r="C14">
        <f>SUMIF(Loans!C$2:C$501, A14, Loans!E$2:E$501)</f>
        <v>0</v>
      </c>
      <c r="D14">
        <f>SUMIFS(Transactions!F$2:F$501, Transactions!C$2:C$501, A14, Transactions!E$2:E$501, "Deposit")</f>
        <v>0</v>
      </c>
      <c r="E14">
        <f>D14/Branches!D6</f>
        <v>0</v>
      </c>
    </row>
    <row r="15" spans="1:21" x14ac:dyDescent="0.25">
      <c r="A15" t="str">
        <f>Branches!A7</f>
        <v>B006</v>
      </c>
      <c r="B15" t="str">
        <f>Branches!B7</f>
        <v>Branch6</v>
      </c>
      <c r="C15">
        <f>SUMIF(Loans!C$2:C$501, A15, Loans!E$2:E$501)</f>
        <v>0</v>
      </c>
      <c r="D15">
        <f>SUMIFS(Transactions!F$2:F$501, Transactions!C$2:C$501, A15, Transactions!E$2:E$501, "Deposit")</f>
        <v>0</v>
      </c>
      <c r="E15">
        <f>D15/Branches!D7</f>
        <v>0</v>
      </c>
    </row>
    <row r="16" spans="1:21" x14ac:dyDescent="0.25">
      <c r="A16" t="str">
        <f>Branches!A8</f>
        <v>B007</v>
      </c>
      <c r="B16" t="str">
        <f>Branches!B8</f>
        <v>Branch7</v>
      </c>
      <c r="C16">
        <f>SUMIF(Loans!C$2:C$501, A16, Loans!E$2:E$501)</f>
        <v>0</v>
      </c>
      <c r="D16">
        <f>SUMIFS(Transactions!F$2:F$501, Transactions!C$2:C$501, A16, Transactions!E$2:E$501, "Deposit")</f>
        <v>0</v>
      </c>
      <c r="E16">
        <f>D16/Branches!D8</f>
        <v>0</v>
      </c>
    </row>
    <row r="17" spans="1:5" x14ac:dyDescent="0.25">
      <c r="A17" t="str">
        <f>Branches!A9</f>
        <v>B008</v>
      </c>
      <c r="B17" t="str">
        <f>Branches!B9</f>
        <v>Branch8</v>
      </c>
      <c r="C17">
        <f>SUMIF(Loans!C$2:C$501, A17, Loans!E$2:E$501)</f>
        <v>0</v>
      </c>
      <c r="D17">
        <f>SUMIFS(Transactions!F$2:F$501, Transactions!C$2:C$501, A17, Transactions!E$2:E$501, "Deposit")</f>
        <v>0</v>
      </c>
      <c r="E17">
        <f>D17/Branches!D9</f>
        <v>0</v>
      </c>
    </row>
    <row r="18" spans="1:5" x14ac:dyDescent="0.25">
      <c r="A18" t="str">
        <f>Branches!A10</f>
        <v>B009</v>
      </c>
      <c r="B18" t="str">
        <f>Branches!B10</f>
        <v>Branch9</v>
      </c>
      <c r="C18">
        <f>SUMIF(Loans!C$2:C$501, A18, Loans!E$2:E$501)</f>
        <v>0</v>
      </c>
      <c r="D18">
        <f>SUMIFS(Transactions!F$2:F$501, Transactions!C$2:C$501, A18, Transactions!E$2:E$501, "Deposit")</f>
        <v>0</v>
      </c>
      <c r="E18">
        <f>D18/Branches!D10</f>
        <v>0</v>
      </c>
    </row>
    <row r="19" spans="1:5" x14ac:dyDescent="0.25">
      <c r="A19" t="str">
        <f>Branches!A11</f>
        <v>B010</v>
      </c>
      <c r="B19" t="str">
        <f>Branches!B11</f>
        <v>Branch10</v>
      </c>
      <c r="C19">
        <f>SUMIF(Loans!C$2:C$501, A19, Loans!E$2:E$501)</f>
        <v>0</v>
      </c>
      <c r="D19">
        <f>SUMIFS(Transactions!F$2:F$501, Transactions!C$2:C$501, A19, Transactions!E$2:E$501, "Deposit")</f>
        <v>0</v>
      </c>
      <c r="E19">
        <f>D19/Branches!D11</f>
        <v>0</v>
      </c>
    </row>
  </sheetData>
  <mergeCells count="18">
    <mergeCell ref="O6:Q6"/>
    <mergeCell ref="O7:Q8"/>
    <mergeCell ref="S6:U6"/>
    <mergeCell ref="S7:U8"/>
    <mergeCell ref="G6:I6"/>
    <mergeCell ref="G7:I8"/>
    <mergeCell ref="K6:M6"/>
    <mergeCell ref="K7:M8"/>
    <mergeCell ref="N2:P2"/>
    <mergeCell ref="J3:L4"/>
    <mergeCell ref="N3:P4"/>
    <mergeCell ref="R2:T2"/>
    <mergeCell ref="R3:T4"/>
    <mergeCell ref="A2:D2"/>
    <mergeCell ref="A3:D4"/>
    <mergeCell ref="F2:H2"/>
    <mergeCell ref="F3:H4"/>
    <mergeCell ref="J2:L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Pivot_Analysis</vt:lpstr>
      <vt:lpstr>Customer</vt:lpstr>
      <vt:lpstr>Loans</vt:lpstr>
      <vt:lpstr>Transactions</vt:lpstr>
      <vt:lpstr>Branches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Yellapragada Sivani</dc:creator>
  <cp:lastModifiedBy>Yellapragada Sivani</cp:lastModifiedBy>
  <dcterms:created xsi:type="dcterms:W3CDTF">2026-09-06T17:11:00Z</dcterms:created>
  <dcterms:modified xsi:type="dcterms:W3CDTF">2026-09-12T18:03:09Z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6006F52F0FEE466B94C0E404ECE8562C_12</vt:lpwstr>
  </property>
  <property fmtid="{D5CDD505-2E9C-101B-9397-08002B2CF9AE}" pid="3" name="KSOProductBuildVer">
    <vt:lpwstr>1033-12.1.0.28485</vt:lpwstr>
  </property>
  <property fmtid="{D5CDD505-2E9C-101B-9397-08002B2CF9AE}" pid="4" name="CalculationRule">
    <vt:i4>0</vt:i4>
  </property>
</Properties>
</file>